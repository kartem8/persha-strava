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🎯 Підсумок" sheetId="1" state="visible" r:id="rId1"/>
    <sheet xmlns:r="http://schemas.openxmlformats.org/officeDocument/2006/relationships" name="📊 TL;DR" sheetId="2" state="visible" r:id="rId2"/>
    <sheet xmlns:r="http://schemas.openxmlformats.org/officeDocument/2006/relationships" name="📈 Кластери" sheetId="3" state="visible" r:id="rId3"/>
    <sheet xmlns:r="http://schemas.openxmlformats.org/officeDocument/2006/relationships" name="🏢 Apps Readout" sheetId="4" state="visible" r:id="rId4"/>
    <sheet xmlns:r="http://schemas.openxmlformats.org/officeDocument/2006/relationships" name="📊 Apps Detail" sheetId="5" state="visible" r:id="rId5"/>
    <sheet xmlns:r="http://schemas.openxmlformats.org/officeDocument/2006/relationships" name="⚠️ Коментарі" sheetId="6" state="visible" r:id="rId6"/>
    <sheet xmlns:r="http://schemas.openxmlformats.org/officeDocument/2006/relationships" name="📋 Детальні скори" sheetId="7" state="hidden" r:id="rId7"/>
    <sheet xmlns:r="http://schemas.openxmlformats.org/officeDocument/2006/relationships" name="Інструкція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"/>
    <numFmt numFmtId="165" formatCode="0.0&quot;M&quot;"/>
    <numFmt numFmtId="166" formatCode="&quot;$&quot;0.0&quot;M&quot;"/>
    <numFmt numFmtId="167" formatCode="0.00&quot;M&quot;"/>
    <numFmt numFmtId="168" formatCode="&quot;$&quot;0.00&quot;M&quot;"/>
  </numFmts>
  <fonts count="4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2C2C2C"/>
      <sz val="10"/>
    </font>
    <font>
      <name val="Arial"/>
      <charset val="1"/>
      <family val="0"/>
      <color rgb="FF1A1A1A"/>
      <sz val="9"/>
    </font>
    <font>
      <name val="Arial"/>
      <charset val="1"/>
      <family val="0"/>
      <b val="1"/>
      <color rgb="FF1A1A1A"/>
      <sz val="9"/>
    </font>
    <font>
      <name val="Arial"/>
      <charset val="1"/>
      <family val="0"/>
      <sz val="9"/>
    </font>
    <font>
      <name val="Arial"/>
      <charset val="1"/>
      <family val="0"/>
      <b val="1"/>
      <color rgb="FFFFFFFF"/>
      <sz val="13"/>
    </font>
    <font>
      <name val="Arial"/>
      <charset val="1"/>
      <family val="0"/>
      <color rgb="FF1A1A1A"/>
      <sz val="10"/>
    </font>
    <font>
      <name val="Arial"/>
      <charset val="1"/>
      <family val="0"/>
      <b val="1"/>
      <color rgb="FF1A1A1A"/>
      <sz val="11"/>
    </font>
    <font>
      <name val="Arial"/>
      <charset val="1"/>
      <family val="0"/>
      <b val="1"/>
      <color rgb="FF1A1A1A"/>
      <sz val="10"/>
    </font>
    <font>
      <name val="Arial"/>
      <color rgb="00595959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1F4E79"/>
      <sz val="9"/>
    </font>
    <font/>
    <font>
      <name val="Arial"/>
      <b val="1"/>
      <color rgb="001F4E79"/>
      <sz val="11"/>
    </font>
    <font>
      <name val="Arial"/>
      <sz val="11"/>
    </font>
    <font>
      <name val="Arial"/>
      <b val="1"/>
      <color rgb="00C00000"/>
      <sz val="12"/>
    </font>
    <font>
      <name val="Arial"/>
      <b val="1"/>
      <color rgb="00000000"/>
      <sz val="12"/>
    </font>
    <font>
      <name val="Arial"/>
      <i val="1"/>
      <color rgb="004B0082"/>
      <sz val="9"/>
    </font>
    <font>
      <name val="Arial"/>
      <b val="1"/>
      <color rgb="00FFFFFF"/>
      <sz val="16"/>
    </font>
    <font>
      <name val="Arial"/>
      <b val="1"/>
      <color rgb="00FFFFFF"/>
      <sz val="13"/>
    </font>
    <font>
      <name val="Arial"/>
      <b val="1"/>
      <color rgb="00FFFFFF"/>
      <sz val="11"/>
    </font>
    <font>
      <name val="Arial"/>
      <b val="1"/>
      <color rgb="001F4E79"/>
      <sz val="12"/>
    </font>
    <font>
      <name val="Arial"/>
      <i val="1"/>
      <color rgb="00595959"/>
      <sz val="11"/>
    </font>
    <font>
      <name val="Arial"/>
      <color rgb="00595959"/>
      <sz val="10"/>
    </font>
    <font>
      <name val="Calibri"/>
      <family val="2"/>
      <color theme="1"/>
      <sz val="11"/>
      <scheme val="minor"/>
    </font>
    <font>
      <name val="Arial"/>
      <i val="1"/>
      <color rgb="001F4E79"/>
      <sz val="10"/>
    </font>
    <font>
      <name val="Arial"/>
      <b val="1"/>
      <color rgb="00C55A11"/>
      <sz val="14"/>
    </font>
    <font>
      <name val="Arial"/>
      <i val="1"/>
      <color rgb="00595959"/>
      <sz val="10"/>
    </font>
    <font>
      <name val="Arial"/>
      <b val="1"/>
      <color rgb="00FFFFFF"/>
      <sz val="12"/>
    </font>
    <font>
      <name val="Arial"/>
      <b val="1"/>
      <color rgb="00C00000"/>
      <sz val="18"/>
    </font>
    <font>
      <name val="Arial"/>
      <color rgb="001F4E79"/>
      <sz val="10"/>
    </font>
    <font>
      <name val="Arial"/>
      <b val="1"/>
      <color rgb="007F6000"/>
      <sz val="18"/>
    </font>
    <font>
      <name val="Arial"/>
      <b val="1"/>
      <color rgb="00595959"/>
      <sz val="18"/>
    </font>
    <font>
      <name val="Arial"/>
      <color rgb="003B1F5C"/>
      <sz val="10"/>
    </font>
    <font>
      <name val="Arial"/>
      <b val="1"/>
      <sz val="12"/>
    </font>
    <font>
      <name val="Arial"/>
      <i val="1"/>
      <color rgb="00666666"/>
      <sz val="8"/>
    </font>
    <font>
      <name val="Arial"/>
      <sz val="9"/>
    </font>
    <font>
      <name val="Arial"/>
      <b val="1"/>
      <i val="1"/>
      <sz val="9"/>
    </font>
  </fonts>
  <fills count="38">
    <fill>
      <patternFill/>
    </fill>
    <fill>
      <patternFill patternType="gray125"/>
    </fill>
    <fill>
      <patternFill patternType="solid">
        <fgColor rgb="FF3D3D3D"/>
        <bgColor rgb="FF2C2C2C"/>
      </patternFill>
    </fill>
    <fill>
      <patternFill patternType="solid">
        <fgColor rgb="FFFAF7F2"/>
        <bgColor rgb="FFFFFDE7"/>
      </patternFill>
    </fill>
    <fill>
      <patternFill patternType="solid">
        <fgColor rgb="FFC8E6C9"/>
        <bgColor rgb="FFDADADA"/>
      </patternFill>
    </fill>
    <fill>
      <patternFill patternType="solid">
        <fgColor rgb="FFFFFDE7"/>
        <bgColor rgb="FFFAF7F2"/>
      </patternFill>
    </fill>
    <fill>
      <patternFill patternType="solid">
        <fgColor rgb="FFF5F0E8"/>
        <bgColor rgb="FFFAF7F2"/>
      </patternFill>
    </fill>
    <fill>
      <patternFill patternType="solid">
        <fgColor rgb="FFFFF9C4"/>
        <bgColor rgb="FFFFFDE7"/>
      </patternFill>
    </fill>
    <fill>
      <patternFill patternType="solid">
        <fgColor rgb="FFFFCDD2"/>
        <bgColor rgb="FFDDDDDD"/>
      </patternFill>
    </fill>
    <fill>
      <patternFill patternType="solid">
        <fgColor rgb="FFE8E8E8"/>
        <bgColor rgb="FFF5F0E8"/>
      </patternFill>
    </fill>
    <fill>
      <patternFill patternType="solid">
        <fgColor rgb="FFDDDDDD"/>
        <bgColor rgb="FFDADADA"/>
      </patternFill>
    </fill>
    <fill>
      <patternFill patternType="solid">
        <fgColor rgb="00C55A11"/>
      </patternFill>
    </fill>
    <fill>
      <patternFill patternType="solid">
        <fgColor rgb="00FFF2CC"/>
      </patternFill>
    </fill>
    <fill>
      <patternFill patternType="solid">
        <fgColor rgb="00548235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CE4D6"/>
      </patternFill>
    </fill>
    <fill>
      <patternFill patternType="solid">
        <fgColor rgb="00F2F2F2"/>
      </patternFill>
    </fill>
    <fill>
      <patternFill patternType="solid">
        <fgColor rgb="002F5496"/>
      </patternFill>
    </fill>
    <fill>
      <patternFill patternType="solid">
        <fgColor rgb="00DDEBF7"/>
      </patternFill>
    </fill>
    <fill>
      <patternFill patternType="solid">
        <fgColor rgb="007030A0"/>
      </patternFill>
    </fill>
    <fill>
      <patternFill patternType="solid">
        <fgColor rgb="00EDE7F6"/>
      </patternFill>
    </fill>
    <fill>
      <patternFill patternType="solid">
        <fgColor rgb="000F243E"/>
      </patternFill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4CCCC"/>
      </patternFill>
    </fill>
    <fill>
      <patternFill patternType="solid">
        <fgColor rgb="00BF8F00"/>
      </patternFill>
    </fill>
    <fill>
      <patternFill patternType="solid">
        <fgColor rgb="00C00000"/>
      </patternFill>
    </fill>
    <fill>
      <patternFill patternType="solid">
        <fgColor rgb="00FAFAFA"/>
      </patternFill>
    </fill>
    <fill>
      <patternFill patternType="solid">
        <fgColor rgb="00FFD966"/>
        <bgColor rgb="00FFD966"/>
      </patternFill>
    </fill>
    <fill>
      <patternFill patternType="solid">
        <fgColor rgb="001A237E"/>
        <bgColor rgb="001A237E"/>
      </patternFill>
    </fill>
    <fill>
      <patternFill patternType="solid">
        <fgColor rgb="0037474F"/>
        <bgColor rgb="0037474F"/>
      </patternFill>
    </fill>
    <fill>
      <patternFill patternType="solid">
        <fgColor rgb="00263238"/>
        <bgColor rgb="00263238"/>
      </patternFill>
    </fill>
    <fill>
      <patternFill patternType="solid">
        <fgColor rgb="00F5F5F5"/>
        <bgColor rgb="00F5F5F5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14">
    <border>
      <left/>
      <right/>
      <top/>
      <bottom/>
      <diagonal/>
    </border>
    <border>
      <left style="thin">
        <color rgb="FFDADADA"/>
      </left>
      <right style="thin">
        <color rgb="FFDADADA"/>
      </right>
      <top style="thin">
        <color rgb="FFDADADA"/>
      </top>
      <bottom style="thin">
        <color rgb="FFDADADA"/>
      </bottom>
      <diagonal/>
    </border>
    <border>
      <left style="medium">
        <color rgb="FF888888"/>
      </left>
      <right/>
      <top style="medium">
        <color rgb="FF888888"/>
      </top>
      <bottom style="medium">
        <color rgb="FF888888"/>
      </bottom>
      <diagonal/>
    </border>
    <border>
      <left style="thin">
        <color rgb="FFDADADA"/>
      </left>
      <right/>
      <top style="thin">
        <color rgb="FFDADADA"/>
      </top>
      <bottom style="thin">
        <color rgb="FFDADADA"/>
      </bottom>
      <diagonal/>
    </border>
    <border>
      <left/>
      <right/>
      <top style="medium">
        <color rgb="FF888888"/>
      </top>
      <bottom/>
      <diagonal/>
    </border>
    <border>
      <left/>
      <right/>
      <top style="medium">
        <color rgb="FF888888"/>
      </top>
      <bottom style="medium">
        <color rgb="FF888888"/>
      </bottom>
      <diagonal/>
    </border>
    <border>
      <left/>
      <right/>
      <top style="thin">
        <color rgb="FFDADADA"/>
      </top>
      <bottom/>
      <diagonal/>
    </border>
    <border>
      <left/>
      <right/>
      <top style="thin">
        <color rgb="FFDADADA"/>
      </top>
      <bottom style="thin">
        <color rgb="FFDADADA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left" vertical="center" indent="1"/>
    </xf>
    <xf numFmtId="0" fontId="8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 wrapText="1" indent="1"/>
    </xf>
    <xf numFmtId="0" fontId="8" fillId="3" borderId="1" applyAlignment="1" pivotButton="0" quotePrefix="0" xfId="0">
      <alignment horizontal="left" vertical="center" wrapText="1" indent="1"/>
    </xf>
    <xf numFmtId="0" fontId="10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wrapText="1" indent="1"/>
    </xf>
    <xf numFmtId="0" fontId="8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 indent="1"/>
    </xf>
    <xf numFmtId="0" fontId="8" fillId="6" borderId="1" applyAlignment="1" pivotButton="0" quotePrefix="0" xfId="0">
      <alignment horizontal="left" vertical="center" wrapText="1" indent="1"/>
    </xf>
    <xf numFmtId="0" fontId="7" fillId="7" borderId="2" applyAlignment="1" pivotButton="0" quotePrefix="0" xfId="0">
      <alignment horizontal="left" vertical="center" indent="1"/>
    </xf>
    <xf numFmtId="0" fontId="7" fillId="8" borderId="2" applyAlignment="1" pivotButton="0" quotePrefix="0" xfId="0">
      <alignment horizontal="left" vertical="center" indent="1"/>
    </xf>
    <xf numFmtId="0" fontId="6" fillId="2" borderId="3" applyAlignment="1" pivotButton="0" quotePrefix="0" xfId="0">
      <alignment horizontal="right" vertical="center" indent="1"/>
    </xf>
    <xf numFmtId="164" fontId="6" fillId="2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center" wrapText="1" indent="1"/>
    </xf>
    <xf numFmtId="0" fontId="12" fillId="3" borderId="0" applyAlignment="1" pivotButton="0" quotePrefix="0" xfId="0">
      <alignment horizontal="general" vertical="center" wrapText="1" indent="1"/>
    </xf>
    <xf numFmtId="0" fontId="13" fillId="9" borderId="0" applyAlignment="1" pivotButton="0" quotePrefix="0" xfId="0">
      <alignment horizontal="general" vertical="center" wrapText="1" indent="1"/>
    </xf>
    <xf numFmtId="0" fontId="14" fillId="10" borderId="0" applyAlignment="1" pivotButton="0" quotePrefix="0" xfId="0">
      <alignment horizontal="general" vertical="center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left" vertical="center" indent="1"/>
    </xf>
    <xf numFmtId="0" fontId="0" fillId="0" borderId="5" pivotButton="0" quotePrefix="0" xfId="0"/>
    <xf numFmtId="0" fontId="8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 wrapText="1" indent="1"/>
    </xf>
    <xf numFmtId="0" fontId="8" fillId="3" borderId="1" applyAlignment="1" pivotButton="0" quotePrefix="0" xfId="0">
      <alignment horizontal="left" vertical="center" wrapText="1" indent="1"/>
    </xf>
    <xf numFmtId="0" fontId="10" fillId="5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left" vertical="top" wrapText="1"/>
    </xf>
    <xf numFmtId="0" fontId="8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 indent="1"/>
    </xf>
    <xf numFmtId="0" fontId="8" fillId="6" borderId="1" applyAlignment="1" pivotButton="0" quotePrefix="0" xfId="0">
      <alignment horizontal="left" vertical="center" wrapText="1" indent="1"/>
    </xf>
    <xf numFmtId="0" fontId="7" fillId="7" borderId="2" applyAlignment="1" pivotButton="0" quotePrefix="0" xfId="0">
      <alignment horizontal="left" vertical="center" indent="1"/>
    </xf>
    <xf numFmtId="0" fontId="7" fillId="8" borderId="2" applyAlignment="1" pivotButton="0" quotePrefix="0" xfId="0">
      <alignment horizontal="left" vertical="center" indent="1"/>
    </xf>
    <xf numFmtId="0" fontId="6" fillId="2" borderId="3" applyAlignment="1" pivotButton="0" quotePrefix="0" xfId="0">
      <alignment horizontal="right" vertical="center" indent="1"/>
    </xf>
    <xf numFmtId="0" fontId="0" fillId="0" borderId="7" pivotButton="0" quotePrefix="0" xfId="0"/>
    <xf numFmtId="164" fontId="16" fillId="2" borderId="1" applyAlignment="1" pivotButton="0" quotePrefix="0" xfId="0">
      <alignment horizontal="center" vertical="center" wrapText="1"/>
    </xf>
    <xf numFmtId="164" fontId="17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center" wrapText="1" indent="1"/>
    </xf>
    <xf numFmtId="0" fontId="12" fillId="3" borderId="0" applyAlignment="1" pivotButton="0" quotePrefix="0" xfId="0">
      <alignment horizontal="general" vertical="center" wrapText="1" indent="1"/>
    </xf>
    <xf numFmtId="0" fontId="13" fillId="9" borderId="0" applyAlignment="1" pivotButton="0" quotePrefix="0" xfId="0">
      <alignment horizontal="general" vertical="center" wrapText="1" indent="1"/>
    </xf>
    <xf numFmtId="0" fontId="14" fillId="10" borderId="0" applyAlignment="1" pivotButton="0" quotePrefix="0" xfId="0">
      <alignment horizontal="general" vertical="center" wrapText="1" indent="1"/>
    </xf>
    <xf numFmtId="0" fontId="18" fillId="11" borderId="8" applyAlignment="1" pivotButton="0" quotePrefix="0" xfId="0">
      <alignment horizontal="center" vertical="center" wrapText="1"/>
    </xf>
    <xf numFmtId="0" fontId="19" fillId="12" borderId="8" applyAlignment="1" pivotButton="0" quotePrefix="0" xfId="0">
      <alignment horizontal="left" vertical="top" wrapText="1"/>
    </xf>
    <xf numFmtId="0" fontId="18" fillId="13" borderId="8" applyAlignment="1" pivotButton="0" quotePrefix="0" xfId="0">
      <alignment horizontal="center" vertical="center" wrapText="1"/>
    </xf>
    <xf numFmtId="0" fontId="19" fillId="14" borderId="8" applyAlignment="1" pivotButton="0" quotePrefix="0" xfId="0">
      <alignment horizontal="left" vertical="top" wrapText="1"/>
    </xf>
    <xf numFmtId="0" fontId="21" fillId="15" borderId="9" applyAlignment="1" pivotButton="0" quotePrefix="0" xfId="0">
      <alignment horizontal="left" vertical="center"/>
    </xf>
    <xf numFmtId="0" fontId="16" fillId="14" borderId="8" applyAlignment="1" pivotButton="0" quotePrefix="0" xfId="0">
      <alignment horizontal="center" vertical="center" wrapText="1"/>
    </xf>
    <xf numFmtId="0" fontId="16" fillId="0" borderId="8" applyAlignment="1" pivotButton="0" quotePrefix="0" xfId="0">
      <alignment horizontal="left" vertical="center" wrapText="1"/>
    </xf>
    <xf numFmtId="0" fontId="22" fillId="0" borderId="8" applyAlignment="1" pivotButton="0" quotePrefix="0" xfId="0">
      <alignment horizontal="left" vertical="center" wrapText="1"/>
    </xf>
    <xf numFmtId="0" fontId="22" fillId="0" borderId="8" applyAlignment="1" pivotButton="0" quotePrefix="0" xfId="0">
      <alignment horizontal="center" vertical="center" wrapText="1"/>
    </xf>
    <xf numFmtId="0" fontId="23" fillId="0" borderId="8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left" vertical="top" wrapText="1"/>
    </xf>
    <xf numFmtId="0" fontId="16" fillId="12" borderId="8" applyAlignment="1" pivotButton="0" quotePrefix="0" xfId="0">
      <alignment horizontal="center" vertical="center" wrapText="1"/>
    </xf>
    <xf numFmtId="0" fontId="24" fillId="0" borderId="8" applyAlignment="1" pivotButton="0" quotePrefix="0" xfId="0">
      <alignment horizontal="center" vertical="center" wrapText="1"/>
    </xf>
    <xf numFmtId="0" fontId="16" fillId="16" borderId="8" applyAlignment="1" pivotButton="0" quotePrefix="0" xfId="0">
      <alignment horizontal="center" vertical="center" wrapText="1"/>
    </xf>
    <xf numFmtId="0" fontId="20" fillId="17" borderId="8" pivotButton="0" quotePrefix="0" xfId="0"/>
    <xf numFmtId="0" fontId="16" fillId="17" borderId="8" applyAlignment="1" pivotButton="0" quotePrefix="0" xfId="0">
      <alignment horizontal="right" vertical="center"/>
    </xf>
    <xf numFmtId="0" fontId="16" fillId="17" borderId="8" applyAlignment="1" pivotButton="0" quotePrefix="0" xfId="0">
      <alignment horizontal="center" vertical="center" wrapText="1"/>
    </xf>
    <xf numFmtId="0" fontId="17" fillId="17" borderId="8" applyAlignment="1" pivotButton="0" quotePrefix="0" xfId="0">
      <alignment horizontal="center" vertical="center" wrapText="1"/>
    </xf>
    <xf numFmtId="0" fontId="20" fillId="0" borderId="9" pivotButton="0" quotePrefix="0" xfId="0"/>
    <xf numFmtId="164" fontId="20" fillId="0" borderId="9" pivotButton="0" quotePrefix="0" xfId="0"/>
    <xf numFmtId="0" fontId="18" fillId="18" borderId="8" applyAlignment="1" pivotButton="0" quotePrefix="0" xfId="0">
      <alignment horizontal="center" vertical="center" wrapText="1"/>
    </xf>
    <xf numFmtId="0" fontId="19" fillId="19" borderId="8" applyAlignment="1" pivotButton="0" quotePrefix="0" xfId="0">
      <alignment horizontal="left" vertical="top" wrapText="1"/>
    </xf>
    <xf numFmtId="0" fontId="20" fillId="17" borderId="8" applyAlignment="1" pivotButton="0" quotePrefix="0" xfId="0">
      <alignment horizontal="center" vertical="center" wrapText="1"/>
    </xf>
    <xf numFmtId="0" fontId="18" fillId="20" borderId="8" applyAlignment="1" pivotButton="0" quotePrefix="0" xfId="0">
      <alignment horizontal="center" vertical="center" wrapText="1"/>
    </xf>
    <xf numFmtId="0" fontId="25" fillId="21" borderId="8" applyAlignment="1" pivotButton="0" quotePrefix="0" xfId="0">
      <alignment horizontal="left" vertical="top" wrapText="1"/>
    </xf>
    <xf numFmtId="0" fontId="0" fillId="17" borderId="8" pivotButton="0" quotePrefix="0" xfId="0"/>
    <xf numFmtId="0" fontId="26" fillId="22" borderId="0" applyAlignment="1" pivotButton="0" quotePrefix="0" xfId="0">
      <alignment horizontal="left" vertical="center" indent="1"/>
    </xf>
    <xf numFmtId="0" fontId="16" fillId="0" borderId="0" pivotButton="0" quotePrefix="0" xfId="0"/>
    <xf numFmtId="0" fontId="22" fillId="0" borderId="0" applyAlignment="1" pivotButton="0" quotePrefix="0" xfId="0">
      <alignment horizontal="left" vertical="top" wrapText="1"/>
    </xf>
    <xf numFmtId="0" fontId="27" fillId="18" borderId="0" applyAlignment="1" pivotButton="0" quotePrefix="0" xfId="0">
      <alignment horizontal="left" vertical="center" indent="1"/>
    </xf>
    <xf numFmtId="0" fontId="28" fillId="18" borderId="8" applyAlignment="1" pivotButton="0" quotePrefix="0" xfId="0">
      <alignment horizontal="center" vertical="center" wrapText="1"/>
    </xf>
    <xf numFmtId="0" fontId="16" fillId="14" borderId="8" applyAlignment="1" pivotButton="0" quotePrefix="0" xfId="0">
      <alignment horizontal="left" vertical="top" wrapText="1"/>
    </xf>
    <xf numFmtId="0" fontId="22" fillId="14" borderId="8" applyAlignment="1" pivotButton="0" quotePrefix="0" xfId="0">
      <alignment horizontal="left" vertical="top" wrapText="1"/>
    </xf>
    <xf numFmtId="0" fontId="16" fillId="12" borderId="8" applyAlignment="1" pivotButton="0" quotePrefix="0" xfId="0">
      <alignment horizontal="left" vertical="top" wrapText="1"/>
    </xf>
    <xf numFmtId="0" fontId="22" fillId="12" borderId="8" applyAlignment="1" pivotButton="0" quotePrefix="0" xfId="0">
      <alignment horizontal="left" vertical="top" wrapText="1"/>
    </xf>
    <xf numFmtId="0" fontId="16" fillId="16" borderId="8" applyAlignment="1" pivotButton="0" quotePrefix="0" xfId="0">
      <alignment horizontal="left" vertical="top" wrapText="1"/>
    </xf>
    <xf numFmtId="0" fontId="22" fillId="16" borderId="8" applyAlignment="1" pivotButton="0" quotePrefix="0" xfId="0">
      <alignment horizontal="left" vertical="top" wrapText="1"/>
    </xf>
    <xf numFmtId="0" fontId="29" fillId="15" borderId="0" applyAlignment="1" pivotButton="0" quotePrefix="0" xfId="0">
      <alignment horizontal="left" vertical="top" wrapText="1"/>
    </xf>
    <xf numFmtId="0" fontId="30" fillId="0" borderId="0" applyAlignment="1" pivotButton="0" quotePrefix="0" xfId="0">
      <alignment horizontal="left" vertical="top" wrapText="1"/>
    </xf>
    <xf numFmtId="0" fontId="31" fillId="0" borderId="0" applyAlignment="1" pivotButton="0" quotePrefix="0" xfId="0">
      <alignment horizontal="left" vertical="center" wrapText="1"/>
    </xf>
    <xf numFmtId="0" fontId="16" fillId="14" borderId="8" applyAlignment="1" pivotButton="0" quotePrefix="0" xfId="0">
      <alignment horizontal="left" vertical="center" wrapText="1"/>
    </xf>
    <xf numFmtId="165" fontId="22" fillId="14" borderId="8" applyAlignment="1" pivotButton="0" quotePrefix="0" xfId="0">
      <alignment horizontal="right" vertical="center" wrapText="1"/>
    </xf>
    <xf numFmtId="165" fontId="16" fillId="14" borderId="8" applyAlignment="1" pivotButton="0" quotePrefix="0" xfId="0">
      <alignment horizontal="right" vertical="center" wrapText="1"/>
    </xf>
    <xf numFmtId="166" fontId="16" fillId="14" borderId="8" applyAlignment="1" pivotButton="0" quotePrefix="0" xfId="0">
      <alignment horizontal="right" vertical="center" wrapText="1"/>
    </xf>
    <xf numFmtId="0" fontId="22" fillId="14" borderId="8" applyAlignment="1" pivotButton="0" quotePrefix="0" xfId="0">
      <alignment horizontal="center" vertical="center" wrapText="1"/>
    </xf>
    <xf numFmtId="0" fontId="16" fillId="12" borderId="8" applyAlignment="1" pivotButton="0" quotePrefix="0" xfId="0">
      <alignment horizontal="left" vertical="center" wrapText="1"/>
    </xf>
    <xf numFmtId="165" fontId="22" fillId="12" borderId="8" applyAlignment="1" pivotButton="0" quotePrefix="0" xfId="0">
      <alignment horizontal="right" vertical="center" wrapText="1"/>
    </xf>
    <xf numFmtId="165" fontId="16" fillId="12" borderId="8" applyAlignment="1" pivotButton="0" quotePrefix="0" xfId="0">
      <alignment horizontal="right" vertical="center" wrapText="1"/>
    </xf>
    <xf numFmtId="166" fontId="16" fillId="12" borderId="8" applyAlignment="1" pivotButton="0" quotePrefix="0" xfId="0">
      <alignment horizontal="right" vertical="center" wrapText="1"/>
    </xf>
    <xf numFmtId="0" fontId="22" fillId="12" borderId="8" applyAlignment="1" pivotButton="0" quotePrefix="0" xfId="0">
      <alignment horizontal="center" vertical="center" wrapText="1"/>
    </xf>
    <xf numFmtId="0" fontId="31" fillId="0" borderId="0" pivotButton="0" quotePrefix="0" xfId="0"/>
    <xf numFmtId="0" fontId="31" fillId="0" borderId="0" applyAlignment="1" pivotButton="0" quotePrefix="0" xfId="0">
      <alignment horizontal="left" vertical="top" wrapText="1"/>
    </xf>
    <xf numFmtId="0" fontId="28" fillId="23" borderId="8" applyAlignment="1" pivotButton="0" quotePrefix="0" xfId="0">
      <alignment horizontal="center" vertical="center" wrapText="1"/>
    </xf>
    <xf numFmtId="49" fontId="16" fillId="14" borderId="8" applyAlignment="1" pivotButton="0" quotePrefix="0" xfId="0">
      <alignment horizontal="left" vertical="center" wrapText="1"/>
    </xf>
    <xf numFmtId="49" fontId="22" fillId="14" borderId="8" applyAlignment="1" pivotButton="0" quotePrefix="0" xfId="0">
      <alignment horizontal="left" vertical="top" wrapText="1"/>
    </xf>
    <xf numFmtId="0" fontId="0" fillId="0" borderId="10" pivotButton="0" quotePrefix="0" xfId="0"/>
    <xf numFmtId="0" fontId="33" fillId="15" borderId="8" applyAlignment="1" pivotButton="0" quotePrefix="0" xfId="0">
      <alignment horizontal="left" vertical="center" wrapText="1" indent="1"/>
    </xf>
    <xf numFmtId="0" fontId="0" fillId="0" borderId="11" pivotButton="0" quotePrefix="0" xfId="0"/>
    <xf numFmtId="167" fontId="22" fillId="14" borderId="8" applyAlignment="1" pivotButton="0" quotePrefix="0" xfId="0">
      <alignment horizontal="right" vertical="center" wrapText="1"/>
    </xf>
    <xf numFmtId="168" fontId="16" fillId="14" borderId="8" applyAlignment="1" pivotButton="0" quotePrefix="0" xfId="0">
      <alignment horizontal="right" vertical="center" wrapText="1"/>
    </xf>
    <xf numFmtId="49" fontId="16" fillId="12" borderId="8" applyAlignment="1" pivotButton="0" quotePrefix="0" xfId="0">
      <alignment horizontal="left" vertical="center" wrapText="1"/>
    </xf>
    <xf numFmtId="168" fontId="16" fillId="12" borderId="8" applyAlignment="1" pivotButton="0" quotePrefix="0" xfId="0">
      <alignment horizontal="right" vertical="center" wrapText="1"/>
    </xf>
    <xf numFmtId="49" fontId="22" fillId="12" borderId="8" applyAlignment="1" pivotButton="0" quotePrefix="0" xfId="0">
      <alignment horizontal="left" vertical="top" wrapText="1"/>
    </xf>
    <xf numFmtId="167" fontId="22" fillId="12" borderId="8" applyAlignment="1" pivotButton="0" quotePrefix="0" xfId="0">
      <alignment horizontal="right" vertical="center" wrapText="1"/>
    </xf>
    <xf numFmtId="0" fontId="26" fillId="11" borderId="0" applyAlignment="1" pivotButton="0" quotePrefix="0" xfId="0">
      <alignment horizontal="left" vertical="center" indent="1"/>
    </xf>
    <xf numFmtId="0" fontId="34" fillId="12" borderId="8" applyAlignment="1" pivotButton="0" quotePrefix="0" xfId="0">
      <alignment horizontal="center" vertical="center" wrapText="1"/>
    </xf>
    <xf numFmtId="0" fontId="22" fillId="24" borderId="8" applyAlignment="1" pivotButton="0" quotePrefix="0" xfId="0">
      <alignment horizontal="left" vertical="top" wrapText="1"/>
    </xf>
    <xf numFmtId="0" fontId="27" fillId="13" borderId="0" applyAlignment="1" pivotButton="0" quotePrefix="0" xfId="0">
      <alignment horizontal="left" vertical="center" indent="1"/>
    </xf>
    <xf numFmtId="0" fontId="18" fillId="22" borderId="8" applyAlignment="1" pivotButton="0" quotePrefix="0" xfId="0">
      <alignment horizontal="center" vertical="center" wrapText="1"/>
    </xf>
    <xf numFmtId="0" fontId="19" fillId="25" borderId="8" applyAlignment="1" pivotButton="0" quotePrefix="0" xfId="0">
      <alignment horizontal="left" vertical="top" wrapText="1"/>
    </xf>
    <xf numFmtId="0" fontId="19" fillId="26" borderId="8" applyAlignment="1" pivotButton="0" quotePrefix="0" xfId="0">
      <alignment horizontal="left" vertical="top" wrapText="1"/>
    </xf>
    <xf numFmtId="0" fontId="19" fillId="27" borderId="8" applyAlignment="1" pivotButton="0" quotePrefix="0" xfId="0">
      <alignment horizontal="left" vertical="top" wrapText="1"/>
    </xf>
    <xf numFmtId="0" fontId="35" fillId="17" borderId="0" applyAlignment="1" pivotButton="0" quotePrefix="0" xfId="0">
      <alignment horizontal="left" vertical="center" wrapText="1" indent="1"/>
    </xf>
    <xf numFmtId="0" fontId="36" fillId="13" borderId="0" applyAlignment="1" pivotButton="0" quotePrefix="0" xfId="0">
      <alignment horizontal="left" vertical="center" indent="1"/>
    </xf>
    <xf numFmtId="0" fontId="16" fillId="14" borderId="8" applyAlignment="1" pivotButton="0" quotePrefix="0" xfId="0">
      <alignment horizontal="center" vertical="center"/>
    </xf>
    <xf numFmtId="0" fontId="16" fillId="14" borderId="8" applyAlignment="1" pivotButton="0" quotePrefix="0" xfId="0">
      <alignment horizontal="left" vertical="center" wrapText="1" indent="1"/>
    </xf>
    <xf numFmtId="0" fontId="37" fillId="14" borderId="8" applyAlignment="1" pivotButton="0" quotePrefix="0" xfId="0">
      <alignment horizontal="center" vertical="center"/>
    </xf>
    <xf numFmtId="0" fontId="38" fillId="24" borderId="8" applyAlignment="1" pivotButton="0" quotePrefix="0" xfId="0">
      <alignment horizontal="left" vertical="top" wrapText="1"/>
    </xf>
    <xf numFmtId="0" fontId="36" fillId="28" borderId="0" applyAlignment="1" pivotButton="0" quotePrefix="0" xfId="0">
      <alignment horizontal="left" vertical="center" indent="1"/>
    </xf>
    <xf numFmtId="0" fontId="16" fillId="19" borderId="8" applyAlignment="1" pivotButton="0" quotePrefix="0" xfId="0">
      <alignment horizontal="center" vertical="center"/>
    </xf>
    <xf numFmtId="0" fontId="16" fillId="19" borderId="8" applyAlignment="1" pivotButton="0" quotePrefix="0" xfId="0">
      <alignment horizontal="left" vertical="center" wrapText="1" indent="1"/>
    </xf>
    <xf numFmtId="0" fontId="37" fillId="19" borderId="8" applyAlignment="1" pivotButton="0" quotePrefix="0" xfId="0">
      <alignment horizontal="center" vertical="center"/>
    </xf>
    <xf numFmtId="0" fontId="16" fillId="19" borderId="8" applyAlignment="1" pivotButton="0" quotePrefix="0" xfId="0">
      <alignment horizontal="center" vertical="center" wrapText="1"/>
    </xf>
    <xf numFmtId="0" fontId="39" fillId="19" borderId="8" applyAlignment="1" pivotButton="0" quotePrefix="0" xfId="0">
      <alignment horizontal="center" vertical="center"/>
    </xf>
    <xf numFmtId="0" fontId="36" fillId="11" borderId="0" applyAlignment="1" pivotButton="0" quotePrefix="0" xfId="0">
      <alignment horizontal="left" vertical="center" indent="1"/>
    </xf>
    <xf numFmtId="0" fontId="16" fillId="12" borderId="8" applyAlignment="1" pivotButton="0" quotePrefix="0" xfId="0">
      <alignment horizontal="center" vertical="center"/>
    </xf>
    <xf numFmtId="0" fontId="16" fillId="12" borderId="8" applyAlignment="1" pivotButton="0" quotePrefix="0" xfId="0">
      <alignment horizontal="left" vertical="center" wrapText="1" indent="1"/>
    </xf>
    <xf numFmtId="0" fontId="37" fillId="12" borderId="8" applyAlignment="1" pivotButton="0" quotePrefix="0" xfId="0">
      <alignment horizontal="center" vertical="center"/>
    </xf>
    <xf numFmtId="0" fontId="39" fillId="12" borderId="8" applyAlignment="1" pivotButton="0" quotePrefix="0" xfId="0">
      <alignment horizontal="center" vertical="center"/>
    </xf>
    <xf numFmtId="0" fontId="40" fillId="12" borderId="8" applyAlignment="1" pivotButton="0" quotePrefix="0" xfId="0">
      <alignment horizontal="center" vertical="center"/>
    </xf>
    <xf numFmtId="0" fontId="36" fillId="29" borderId="0" applyAlignment="1" pivotButton="0" quotePrefix="0" xfId="0">
      <alignment horizontal="left" vertical="center" indent="1"/>
    </xf>
    <xf numFmtId="0" fontId="16" fillId="16" borderId="8" applyAlignment="1" pivotButton="0" quotePrefix="0" xfId="0">
      <alignment horizontal="center" vertical="center"/>
    </xf>
    <xf numFmtId="0" fontId="16" fillId="16" borderId="8" applyAlignment="1" pivotButton="0" quotePrefix="0" xfId="0">
      <alignment horizontal="left" vertical="center" wrapText="1" indent="1"/>
    </xf>
    <xf numFmtId="0" fontId="39" fillId="16" borderId="8" applyAlignment="1" pivotButton="0" quotePrefix="0" xfId="0">
      <alignment horizontal="center" vertical="center"/>
    </xf>
    <xf numFmtId="0" fontId="40" fillId="16" borderId="8" applyAlignment="1" pivotButton="0" quotePrefix="0" xfId="0">
      <alignment horizontal="center" vertical="center"/>
    </xf>
    <xf numFmtId="0" fontId="41" fillId="21" borderId="8" applyAlignment="1" pivotButton="0" quotePrefix="0" xfId="0">
      <alignment horizontal="left" vertical="top" wrapText="1"/>
    </xf>
    <xf numFmtId="0" fontId="0" fillId="30" borderId="8" pivotButton="0" quotePrefix="0" xfId="0"/>
    <xf numFmtId="0" fontId="16" fillId="31" borderId="8" applyAlignment="1" pivotButton="0" quotePrefix="0" xfId="0">
      <alignment horizontal="center" vertical="center"/>
    </xf>
    <xf numFmtId="0" fontId="16" fillId="31" borderId="8" applyAlignment="1" pivotButton="0" quotePrefix="0" xfId="0">
      <alignment horizontal="left" vertical="center" wrapText="1" indent="1"/>
    </xf>
    <xf numFmtId="0" fontId="40" fillId="31" borderId="8" applyAlignment="1" pivotButton="0" quotePrefix="0" xfId="0">
      <alignment horizontal="center" vertical="center"/>
    </xf>
    <xf numFmtId="0" fontId="16" fillId="31" borderId="8" applyAlignment="1" pivotButton="0" quotePrefix="0" xfId="0">
      <alignment horizontal="center" vertical="center" wrapText="1"/>
    </xf>
    <xf numFmtId="0" fontId="38" fillId="31" borderId="8" applyAlignment="1" pivotButton="0" quotePrefix="0" xfId="0">
      <alignment horizontal="left" vertical="top" wrapText="1"/>
    </xf>
    <xf numFmtId="0" fontId="0" fillId="31" borderId="8" pivotButton="0" quotePrefix="0" xfId="0"/>
    <xf numFmtId="0" fontId="39" fillId="31" borderId="8" applyAlignment="1" pivotButton="0" quotePrefix="0" xfId="0">
      <alignment horizontal="center" vertical="center"/>
    </xf>
    <xf numFmtId="0" fontId="36" fillId="32" borderId="0" applyAlignment="1" pivotButton="0" quotePrefix="0" xfId="0">
      <alignment horizontal="left" vertical="center"/>
    </xf>
    <xf numFmtId="0" fontId="43" fillId="0" borderId="0" pivotButton="0" quotePrefix="0" xfId="0"/>
    <xf numFmtId="0" fontId="18" fillId="33" borderId="0" applyAlignment="1" pivotButton="0" quotePrefix="0" xfId="0">
      <alignment horizontal="left" vertical="center"/>
    </xf>
    <xf numFmtId="0" fontId="18" fillId="34" borderId="0" applyAlignment="1" pivotButton="0" quotePrefix="0" xfId="0">
      <alignment horizontal="center" vertical="center"/>
    </xf>
    <xf numFmtId="0" fontId="44" fillId="35" borderId="0" applyAlignment="1" pivotButton="0" quotePrefix="0" xfId="0">
      <alignment horizontal="left" vertical="center"/>
    </xf>
    <xf numFmtId="0" fontId="44" fillId="35" borderId="0" applyAlignment="1" pivotButton="0" quotePrefix="0" xfId="0">
      <alignment horizontal="center" vertical="center"/>
    </xf>
    <xf numFmtId="0" fontId="45" fillId="36" borderId="0" applyAlignment="1" pivotButton="0" quotePrefix="0" xfId="0">
      <alignment horizontal="left" vertical="center"/>
    </xf>
    <xf numFmtId="0" fontId="45" fillId="36" borderId="0" applyAlignment="1" pivotButton="0" quotePrefix="0" xfId="0">
      <alignment horizontal="center" vertical="center"/>
    </xf>
    <xf numFmtId="0" fontId="45" fillId="37" borderId="0" applyAlignment="1" pivotButton="0" quotePrefix="0" xfId="0">
      <alignment horizontal="left" vertical="center"/>
    </xf>
    <xf numFmtId="0" fontId="45" fillId="37" borderId="0" applyAlignment="1" pivotButton="0" quotePrefix="0" xfId="0">
      <alignment horizontal="center" vertical="center"/>
    </xf>
    <xf numFmtId="0" fontId="16" fillId="14" borderId="8" applyAlignment="1" pivotButton="0" quotePrefix="0" xfId="0">
      <alignment vertical="top" wrapText="1"/>
    </xf>
    <xf numFmtId="0" fontId="38" fillId="24" borderId="8" applyAlignment="1" pivotButton="0" quotePrefix="0" xfId="0">
      <alignment vertical="top" wrapText="1"/>
    </xf>
    <xf numFmtId="0" fontId="16" fillId="19" borderId="8" applyAlignment="1" pivotButton="0" quotePrefix="0" xfId="0">
      <alignment vertical="top" wrapText="1"/>
    </xf>
    <xf numFmtId="0" fontId="16" fillId="12" borderId="8" applyAlignment="1" pivotButton="0" quotePrefix="0" xfId="0">
      <alignment vertical="top" wrapText="1"/>
    </xf>
    <xf numFmtId="0" fontId="16" fillId="31" borderId="8" applyAlignment="1" pivotButton="0" quotePrefix="0" xfId="0">
      <alignment vertical="top" wrapText="1"/>
    </xf>
    <xf numFmtId="0" fontId="38" fillId="31" borderId="8" applyAlignment="1" pivotButton="0" quotePrefix="0" xfId="0">
      <alignment vertical="top" wrapText="1"/>
    </xf>
    <xf numFmtId="0" fontId="16" fillId="16" borderId="8" applyAlignment="1" pivotButton="0" quotePrefix="0" xfId="0">
      <alignment vertical="top" wrapText="1"/>
    </xf>
    <xf numFmtId="0" fontId="16" fillId="37" borderId="8" applyAlignment="1" pivotButton="0" quotePrefix="0" xfId="0">
      <alignment horizontal="center" vertical="center"/>
    </xf>
    <xf numFmtId="0" fontId="16" fillId="37" borderId="8" applyAlignment="1" pivotButton="0" quotePrefix="0" xfId="0">
      <alignment vertical="top" wrapText="1"/>
    </xf>
    <xf numFmtId="0" fontId="39" fillId="37" borderId="8" applyAlignment="1" pivotButton="0" quotePrefix="0" xfId="0">
      <alignment horizontal="center" vertical="center"/>
    </xf>
    <xf numFmtId="0" fontId="16" fillId="37" borderId="8" applyAlignment="1" pivotButton="0" quotePrefix="0" xfId="0">
      <alignment horizontal="center" vertical="center" wrapText="1"/>
    </xf>
    <xf numFmtId="0" fontId="38" fillId="37" borderId="8" applyAlignment="1" pivotButton="0" quotePrefix="0" xfId="0">
      <alignment vertical="top" wrapText="1"/>
    </xf>
    <xf numFmtId="0" fontId="16" fillId="37" borderId="0" applyAlignment="1" pivotButton="0" quotePrefix="0" xfId="0">
      <alignment vertical="top" wrapText="1"/>
    </xf>
    <xf numFmtId="0" fontId="39" fillId="37" borderId="0" applyAlignment="1" pivotButton="0" quotePrefix="0" xfId="0">
      <alignment vertical="top" wrapText="1"/>
    </xf>
    <xf numFmtId="0" fontId="38" fillId="37" borderId="0" applyAlignment="1" pivotButton="0" quotePrefix="0" xfId="0">
      <alignment vertical="top" wrapText="1"/>
    </xf>
    <xf numFmtId="0" fontId="16" fillId="12" borderId="8" applyAlignment="1" pivotButton="0" quotePrefix="0" xfId="0">
      <alignment vertical="center" wrapText="1"/>
    </xf>
    <xf numFmtId="0" fontId="22" fillId="12" borderId="8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DDDDD"/>
      <rgbColor rgb="FF888888"/>
      <rgbColor rgb="FF9999FF"/>
      <rgbColor rgb="FF993366"/>
      <rgbColor rgb="FFFFF9C4"/>
      <rgbColor rgb="FFE8E8E8"/>
      <rgbColor rgb="FF660066"/>
      <rgbColor rgb="FFFF8080"/>
      <rgbColor rgb="FF0066CC"/>
      <rgbColor rgb="FFDADA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AF7F2"/>
      <rgbColor rgb="FFC8E6C9"/>
      <rgbColor rgb="FFFFFDE7"/>
      <rgbColor rgb="FFF5F0E8"/>
      <rgbColor rgb="FFFF99CC"/>
      <rgbColor rgb="FFCC99FF"/>
      <rgbColor rgb="FFFFCDD2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1A1A1A"/>
      <rgbColor rgb="FF3D3D3D"/>
      <rgbColor rgb="FF993300"/>
      <rgbColor rgb="FF993366"/>
      <rgbColor rgb="FF333399"/>
      <rgbColor rgb="FF2C2C2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00548235"/>
    <outlinePr summaryBelow="1" summaryRight="1"/>
    <pageSetUpPr/>
  </sheetPr>
  <dimension ref="A1:F30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style="23" min="1" max="1"/>
    <col width="28" customWidth="1" style="23" min="2" max="2"/>
    <col width="8" customWidth="1" style="23" min="3" max="3"/>
    <col width="24" customWidth="1" style="23" min="4" max="4"/>
    <col width="90" customWidth="1" style="23" min="5" max="5"/>
    <col width="70" customWidth="1" style="23" min="6" max="6"/>
  </cols>
  <sheetData>
    <row r="1" ht="32" customHeight="1" s="23">
      <c r="A1" s="74" t="inlineStr">
        <is>
          <t>STRAVA — ПІДСУМОК РЕСЬОРЧУ (23 ідеї → шорт-лист 3)</t>
        </is>
      </c>
    </row>
    <row r="2" ht="36" customHeight="1" s="23">
      <c r="A2" s="120" t="inlineStr">
        <is>
          <t>Джерела правди: 📊 Paid_Tools_Market_Data_Synthesis_19Apr2026.md · 🎓 Claude_Ready_Genesis_Lectures_Framework_For_Validation.md · 💬 коментарі лектора (19 Apr 2026) · 🧪 6 AI deep-research. Деталі скорингу — sheet «📋 Детальні скори».</t>
        </is>
      </c>
    </row>
    <row r="3" ht="36" customHeight="1" s="23">
      <c r="A3" s="78" t="inlineStr">
        <is>
          <t>#</t>
        </is>
      </c>
      <c r="B3" s="78" t="inlineStr">
        <is>
          <t>Ідея / сегмент + опис</t>
        </is>
      </c>
      <c r="C3" s="78" t="inlineStr">
        <is>
          <t>L</t>
        </is>
      </c>
      <c r="D3" s="78" t="inlineStr">
        <is>
          <t>Вердикт</t>
        </is>
      </c>
      <c r="E3" s="78" t="inlineStr">
        <is>
          <t>Аргументація (📊 аналітика · 🎓 Genesis · 💬 ментор · 🏁 конкуренти)</t>
        </is>
      </c>
    </row>
    <row r="4" ht="26" customHeight="1" s="23">
      <c r="A4" s="121" t="inlineStr">
        <is>
          <t>🟢 KEEP — шорт-лист (3 основні напрямки)</t>
        </is>
      </c>
    </row>
    <row r="5" ht="290" customHeight="1" s="23">
      <c r="A5" s="122" t="n">
        <v>1</v>
      </c>
      <c r="B5" s="162" t="inlineStr">
        <is>
          <t>Strava Escapes / Active Travel
Strava як сервіс для активних подорожей: маршрути в новому місті, готові плани поїздок, локальні клуби і партнерські бронювання.</t>
        </is>
      </c>
      <c r="C5" s="124" t="n">
        <v>5</v>
      </c>
      <c r="D5" s="53" t="inlineStr">
        <is>
          <t>✅ KEEP — #1 shortlist</t>
        </is>
      </c>
      <c r="E5" s="163" t="inlineStr">
        <is>
          <t>📊 DL 91.7M (+38% YoY) · Rev $326.6M
AllTrails $76M · komoot $35M · Wikiloc $9.7M
🎓 Market сильний · Fit сильний · $ доведено
💬 Ментор: e-commerce gear partnerships як monetization angle</t>
        </is>
      </c>
    </row>
    <row r="6" ht="290" customHeight="1" s="23">
      <c r="A6" s="122" t="n">
        <v>2</v>
      </c>
      <c r="B6" s="162" t="inlineStr">
        <is>
          <t>Coach Marketplace
Платформа де юзер знаходить тренера, купує план або супровід, а тренер працює з даними активності прямо через Strava.</t>
        </is>
      </c>
      <c r="C6" s="124" t="n">
        <v>4</v>
      </c>
      <c r="D6" s="53" t="inlineStr">
        <is>
          <t>✅ KEEP — #2 shortlist</t>
        </is>
      </c>
      <c r="E6" s="163" t="inlineStr">
        <is>
          <t>📊 DL 7.5M (+71% YoY) · Rev $68.7M
Runna $56M (breakout) · TrainingPeaks $7M (coach-side!)
🎓 Найсильніший WTP signal у датасеті · Fit через Runna
⚠️ Strava вже має Runna — gap: 2-sided human-coach marketplace</t>
        </is>
      </c>
    </row>
    <row r="7" ht="290" customHeight="1" s="23">
      <c r="A7" s="122" t="n">
        <v>3</v>
      </c>
      <c r="B7" s="162" t="inlineStr">
        <is>
          <t>Local Experiences Marketplace
Маркетплейс локальних активностей: пробіжки з local hosts, групові поїздки, хайки, тематичні meetups і платні experience-формати в місті.</t>
        </is>
      </c>
      <c r="C7" s="124" t="n">
        <v>4</v>
      </c>
      <c r="D7" s="53" t="inlineStr">
        <is>
          <t>✅ KEEP — #3 shortlist (alt: Courts)</t>
        </is>
      </c>
      <c r="E7" s="163" t="inlineStr">
        <is>
          <t>📊 Events/Discovery DL 46.7M · Rev $14M in-app
GetYourGuide 17.5M DL / $0 in-app · Fever 11.4M / $0 · Meetup $14M
🎓 §7 Avoid 3: off-app GMV billions — не міряти по in-app
💬 Ментор: Strava Clubs cold-start без paid acquisition?</t>
        </is>
      </c>
    </row>
    <row r="8" ht="26" customHeight="1" s="23">
      <c r="A8" s="126" t="inlineStr">
        <is>
          <t>🟡 CONSIDER — резерв / можливі swap-и</t>
        </is>
      </c>
    </row>
    <row r="9" ht="290" customHeight="1" s="23">
      <c r="A9" s="127" t="n">
        <v>4</v>
      </c>
      <c r="B9" s="164" t="inlineStr">
        <is>
          <t>Strava Live / Race &amp; Event Marketplace
Маркетплейс забігів і подій: знайти старт, зареєструватись, готуватись у Strava і показати результат у тому ж середовищі.</t>
        </is>
      </c>
      <c r="C9" s="129" t="n">
        <v>4</v>
      </c>
      <c r="D9" s="130" t="inlineStr">
        <is>
          <t>🟡 CONSIDER — overlap з #3</t>
        </is>
      </c>
      <c r="E9" s="163" t="inlineStr">
        <is>
          <t>📊 Events кластер 46.7M DL · $14.1M in-app Rev
Eventbrite 9.3M DL / $0 · RunSignup web-billing · Meetup $14M
🎓 Organizer-side economics — ключ (як TrainingPeaks coach-side)
⚠️ Overlap з #3 (Local Exp) — перевірити merge-сигнал</t>
        </is>
      </c>
    </row>
    <row r="10" ht="160" customHeight="1" s="23">
      <c r="A10" s="127" t="n">
        <v>5</v>
      </c>
      <c r="B10" s="164" t="inlineStr">
        <is>
          <t>Strava Courts / Social Sports
Розширення у social sports: padel, tennis, pickleball — пошук партнерів, матчі, клуби, рейтинг і потенційно booking court slots.</t>
        </is>
      </c>
      <c r="C10" s="131" t="n">
        <v>3</v>
      </c>
      <c r="D10" s="130" t="inlineStr">
        <is>
          <t>🟡 CONSIDER — найкращий swap на #3</t>
        </is>
      </c>
      <c r="E10" s="163" t="inlineStr">
        <is>
          <t>📊 DL 4.4M (+22%) · Rev $2.9M in-app (undercount!)
Playtomic 3.4M DL / $2.8M in-app (real GMV &gt;&gt; app-store)
🎓 §7 Avoid 3: Playtomic unicorn, $80M+ Series C · fastest-growing cluster
💬 Ментор: swap-option для Coach Marketplace</t>
        </is>
      </c>
    </row>
    <row r="11" ht="80" customHeight="1" s="23">
      <c r="A11" s="170" t="n">
        <v>6</v>
      </c>
      <c r="B11" s="174" t="inlineStr">
        <is>
          <t>Nutrition / Meal Planning
Розширення в nutrition layer: meal plans, macro tracking і рекомендації по харчуванню залежно від навантаження та цілей.</t>
        </is>
      </c>
      <c r="C11" s="175" t="n">
        <v>3</v>
      </c>
      <c r="D11" s="174" t="inlineStr">
        <is>
          <t>🟡 CONSIDER — ринок масивний ($833M), ментор override</t>
        </is>
      </c>
      <c r="E11" s="176" t="inlineStr">
        <is>
          <t>📊 Найбільший revenue-кластер: $833M (+17% YoY)
MyFitnessPal $382M · Yazio $131M · Cal AI $57M (+172%)
AI-хвиля: Calo +2850% · BitePal +897% · Rev: $301M→$714M→$833M
🎓 §2.D Fit weak (dilutes identity) · §2.C crowded
💬 Ментор: «не викидати з шорт-ліста — хороший ринок по грошах»</t>
        </is>
      </c>
    </row>
    <row r="12" ht="290" customHeight="1" s="23">
      <c r="A12" s="132" t="inlineStr">
        <is>
          <t>🟠 DEPRIORITIZE — сильні на перший погляд, але фреймворк блокує</t>
        </is>
      </c>
    </row>
    <row r="13" ht="290" customHeight="1" s="23">
      <c r="A13" s="133" t="n">
        <v>6</v>
      </c>
      <c r="B13" s="165" t="inlineStr">
        <is>
          <t>Strava Work / Corporate Wellness
Продукт для компаній: командні челенджі, корпоративні клуби, leaderboard-и, адмінка для HR і аналітика залучення працівників.</t>
        </is>
      </c>
      <c r="C13" s="135" t="n">
        <v>4</v>
      </c>
      <c r="D13" s="59" t="inlineStr">
        <is>
          <t>⚠️ DEPRIORITIZE — fail right-to-win</t>
        </is>
      </c>
      <c r="E13" s="163" t="inlineStr">
        <is>
          <t>📊 ❌ Цим датасетом НЕ валідується (B2B поза app-store)
Wellhub $315M ARR · Virgin Pulse $400M+ — потрібен PitchBook
🎓 §2.D Fit weak · Right-to-win questionable проти enterprise HR
💬 Ментор: без коментарів (не фокус)</t>
        </is>
      </c>
    </row>
    <row r="14" ht="290" customHeight="1" s="23">
      <c r="A14" s="133" t="n">
        <v>7</v>
      </c>
      <c r="B14" s="165" t="inlineStr">
        <is>
          <t>Strava Ready / Recovery &amp; Longevity
Шар відновлення: readiness score, ризик перевантаження, поради щодо recovery на базі навантаження й сторонніх health signals.</t>
        </is>
      </c>
      <c r="C14" s="135" t="n">
        <v>4</v>
      </c>
      <c r="D14" s="59" t="inlineStr">
        <is>
          <t>⚠️ DEPRIORITIZE — феча, не wedge</t>
        </is>
      </c>
      <c r="E14" s="163" t="inlineStr">
        <is>
          <t>📊 DL 6.2M (+83%) · Rev $0.7M in-app
Oura 3.4M DL / $0 · WHOOP 2.7M / $0 · Eight Sleep $0.6M
🎓 Demand є, monetization hardware-led — не app-store
→ Краще як retention feature, ніж самостійна вертикаль</t>
        </is>
      </c>
    </row>
    <row r="15" ht="290" customHeight="1" s="23">
      <c r="A15" s="133" t="n">
        <v>8</v>
      </c>
      <c r="B15" s="165" t="inlineStr">
        <is>
          <t>Creator Pass / Creator Economy
Модель для спортивних creator-ів: платні клуби, challenge series, контент, тренувальні добірки або закриті програми для аудиторії.</t>
        </is>
      </c>
      <c r="C15" s="135" t="n">
        <v>4</v>
      </c>
      <c r="D15" s="59" t="inlineStr">
        <is>
          <t>⚠️ DEPRIORITIZE — monetization extension</t>
        </is>
      </c>
      <c r="E15" s="163" t="inlineStr">
        <is>
          <t>📊 Немає прямого кластера · Playbook/Fitplan — низькі DL
🎓 §7 Avoid 4: monetization extension, не expansion
💬 Ментор: без коментарів
→ Потенційно як add-on до Coach Marketplace</t>
        </is>
      </c>
    </row>
    <row r="16" ht="160" customHeight="1" s="23">
      <c r="A16" s="133" t="n">
        <v>9</v>
      </c>
      <c r="B16" s="165" t="inlineStr">
        <is>
          <t>Club OS / Organizer Tools
Операційний інструмент для організаторів клубів: анонси, учасники, attendance, recurring events і координація спільноти.</t>
        </is>
      </c>
      <c r="C16" s="135" t="n">
        <v>4</v>
      </c>
      <c r="D16" s="59" t="inlineStr">
        <is>
          <t>⚠️ DEPRIORITIZE — utility layer</t>
        </is>
      </c>
      <c r="E16" s="163" t="inlineStr">
        <is>
          <t>📊 Community/Team Ops DL 16.5M (flat) · Rev $4.7M
GroupMe 10M DL / $0 · TeamSnap 1.6M / $3.8M · Spond 2.4M / $0
🎓 Utility layer — стабільний але не вибуховий ринок
→ Краще як фіча Clubs, не окрема вертикаль</t>
        </is>
      </c>
    </row>
    <row r="17" ht="160" customHeight="1" s="23">
      <c r="A17" s="133" t="n">
        <v>10</v>
      </c>
      <c r="B17" s="165" t="inlineStr">
        <is>
          <t>Return-to-Activity / Pre-Hab
Продукт для повернення після травм: обережні плани навантаження, контроль прогресії і підказки як не перевантажитись знову.</t>
        </is>
      </c>
      <c r="C17" s="136" t="n">
        <v>3</v>
      </c>
      <c r="D17" s="59" t="inlineStr">
        <is>
          <t>⚠️ DEPRIORITIZE — regulatory</t>
        </is>
      </c>
      <c r="E17" s="163" t="inlineStr">
        <is>
          <t>📊 Coaching adj: Runna $56M · GOWOD $4.4M · Recover $0.1M
🎓 Demand є · Fit сильний · Proto hard (medical claims)
→ §7 Avoid 1: risk regulatory + liability</t>
        </is>
      </c>
    </row>
    <row r="18" ht="160" customHeight="1" s="23">
      <c r="A18" s="133" t="n">
        <v>11</v>
      </c>
      <c r="B18" s="165" t="inlineStr">
        <is>
          <t>Outdoor Group Safety / Beacon+
Посилений безпековий режим для групових outdoor-активностей: live location, safety overlays, координація і emergency flows.</t>
        </is>
      </c>
      <c r="C18" s="136" t="n">
        <v>3</v>
      </c>
      <c r="D18" s="59" t="inlineStr">
        <is>
          <t>⚠️ DEPRIORITIZE — дублює Active Travel</t>
        </is>
      </c>
      <c r="E18" s="163" t="inlineStr">
        <is>
          <t>📊 Немає кластерних даних · Garmin inReach hardware-led
🎓 Strava Beacon вже існує → це feature extension
→ §7 Avoid 1: дублює Active Travel safety layer</t>
        </is>
      </c>
    </row>
    <row r="19" ht="26" customHeight="1" s="23">
      <c r="A19" s="133" t="n">
        <v>12</v>
      </c>
      <c r="B19" s="165" t="inlineStr">
        <is>
          <t>Gear Recommerce
Перепродаж спорядження в екосистемі Strava: вживані велосипеди, кросівки, гаджети. Слабший fit із core strengths продукту.</t>
        </is>
      </c>
      <c r="C19" s="137" t="n">
        <v>2</v>
      </c>
      <c r="D19" s="59" t="inlineStr">
        <is>
          <t>⚠️ DEPRIORITIZE — ops complexity</t>
        </is>
      </c>
      <c r="E19" s="163" t="inlineStr">
        <is>
          <t>📊 Немає у датасеті · Pro's Closet / BuyCycle nascent
🎓 Marketplace ops-heavy · Liquidity потрібна · Fit Partial
→ §5: marketplace pattern — холодний старт дуже важкий</t>
        </is>
      </c>
    </row>
    <row r="20" ht="80" customHeight="1" s="23">
      <c r="A20" s="138" t="inlineStr">
        <is>
          <t>🔴 KILL — зняти з розгляду</t>
        </is>
      </c>
    </row>
    <row r="21" ht="80" customHeight="1" s="23">
      <c r="A21" s="139" t="n">
        <v>13</v>
      </c>
      <c r="B21" s="168" t="inlineStr">
        <is>
          <t>Guided Audio / Adaptive Beginner Coach
Продукт для новачків: guided audio runs, прості адаптивні плани, м'який onboarding без тиску складної спортивної аналітики.</t>
        </is>
      </c>
      <c r="C21" s="141" t="n">
        <v>3</v>
      </c>
      <c r="D21" s="61" t="inlineStr">
        <is>
          <t>🚫 KILL — прямі конкуренти</t>
        </is>
      </c>
      <c r="E21" s="163" t="inlineStr">
        <is>
          <t>🎓 §7 Avoid 4: конкурує з NRC / Runkeeper — direct overlap
💬 Ментор: «Це просто около-прямі конкуренти Strava»
🏁 Nike Run Club · Runkeeper · C25K — free dominant</t>
        </is>
      </c>
    </row>
    <row r="22" ht="80" customHeight="1" s="23">
      <c r="A22" s="139" t="n">
        <v>14</v>
      </c>
      <c r="B22" s="168" t="inlineStr">
        <is>
          <t>University Communities
Campus-версія Strava: спільноти університетів, rivalry між факультетами, студентські клуби й локальні challenge-и.</t>
        </is>
      </c>
      <c r="C22" s="141" t="n">
        <v>3</v>
      </c>
      <c r="D22" s="61" t="inlineStr">
        <is>
          <t>🚫 KILL — нема монетизації</t>
        </is>
      </c>
      <c r="E22" s="163" t="inlineStr">
        <is>
          <t>🎓 §2.E $ weak · §9 Final rule не виконується
💬 Ментор: «Нема грошей у студентів»
📊 Community кластер flat · campus apps не у топ</t>
        </is>
      </c>
    </row>
    <row r="23" ht="80" customHeight="1" s="23">
      <c r="A23" s="139" t="n">
        <v>15</v>
      </c>
      <c r="B23" s="168" t="inlineStr">
        <is>
          <t>Family Movement
Сімейний формат: спільні активності, household challenge-и, безпечний режим для дітей і мотивація рухатись як сім'я.</t>
        </is>
      </c>
      <c r="C23" s="141" t="n">
        <v>3</v>
      </c>
      <c r="D23" s="61" t="inlineStr">
        <is>
          <t>🚫 KILL — monetization extension</t>
        </is>
      </c>
      <c r="E23" s="163" t="inlineStr">
        <is>
          <t>🎓 §7 Avoid 4: monetization extension, не expansion
💬 Ментор: «Скоріше розширення монетизації»
📊 Life360 adjacent · family-fitness niche no scale</t>
        </is>
      </c>
    </row>
    <row r="24" ht="80" customHeight="1" s="23">
      <c r="A24" s="139" t="n">
        <v>16</v>
      </c>
      <c r="B24" s="168" t="inlineStr">
        <is>
          <t>AI Strength Form Coach
Силові тренування: записуєш вправу на камеру, отримуєш аналіз техніки, підказки щодо form і відстеження прогресу в lifting.</t>
        </is>
      </c>
      <c r="C24" s="141" t="n">
        <v>3</v>
      </c>
      <c r="D24" s="61" t="inlineStr">
        <is>
          <t>🚫 KILL — weak fit, hard proto</t>
        </is>
      </c>
      <c r="E24" s="163" t="inlineStr">
        <is>
          <t>🎓 §2.D Fit weak (endurance DNA) · Proto hard (CV/ML)
💬 Ментор: «Частину цих апок вже вигрузив» (neutral)
🏁 Tonal / Future — hardware-led incumbent</t>
        </is>
      </c>
    </row>
    <row r="25" ht="80" customHeight="1" s="23">
      <c r="A25" s="139" t="n">
        <v>17</v>
      </c>
      <c r="B25" s="168" t="inlineStr">
        <is>
          <t>Adaptive / Inclusive Fitness
Інклюзивні тренування: окремі програми для людей з інвалідністю, prenatal/postnatal і нестандартних fitness-потреб.</t>
        </is>
      </c>
      <c r="C25" s="141" t="n">
        <v>3</v>
      </c>
      <c r="D25" s="61" t="inlineStr">
        <is>
          <t>🚫 KILL — малий ринок</t>
        </is>
      </c>
      <c r="E25" s="163" t="inlineStr">
        <is>
          <t>🎓 §2.A Market small · §9 Final rule fail
💬 Ментор: «Малий ринок»
📊 Нуль scale-apps у датасеті</t>
        </is>
      </c>
    </row>
    <row r="26" ht="80" customHeight="1" s="23">
      <c r="A26" s="139" t="n">
        <v>18</v>
      </c>
      <c r="B26" s="168" t="inlineStr">
        <is>
          <t>Health-Insurance Subsidy / Proprietary Hardware
Вихід у страхування або власні девайси — великий масштаб і складність, не підходить під короткий горизонт реалізації.</t>
        </is>
      </c>
      <c r="C26" s="142" t="n">
        <v>2</v>
      </c>
      <c r="D26" s="61" t="inlineStr">
        <is>
          <t>🚫 KILL — tier-1 вже має</t>
        </is>
      </c>
      <c r="E26" s="163" t="inlineStr">
        <is>
          <t>🎓 §2.D Fit weak · §2.E regulatory complex
💬 Ментор: «Tier-1 ринки — страхування вже є базове coverage»
→ Too far from Strava core</t>
        </is>
      </c>
    </row>
    <row r="27" ht="80" customHeight="1" s="23">
      <c r="A27" s="139" t="n">
        <v>19</v>
      </c>
      <c r="B27" s="168" t="inlineStr">
        <is>
          <t>Fitness Dating
Знайомства через активний спосіб життя: пошук людей за біговими, вело або outdoor-інтересами. Ризикована для бренду Strava.</t>
        </is>
      </c>
      <c r="C27" s="142" t="n">
        <v>2</v>
      </c>
      <c r="D27" s="61" t="inlineStr">
        <is>
          <t>🚫 KILL — ризик для core</t>
        </is>
      </c>
      <c r="E27" s="163" t="inlineStr">
        <is>
          <t>🎓 §2.D Risk to core brand · §7 Avoid: not Strava DNA
💬 Ментор: «Питання релевантності та конверсії»
🏁 Bumble fitness mode — feature, не app</t>
        </is>
      </c>
    </row>
    <row r="28" ht="80" customHeight="1" s="23">
      <c r="A28" s="139" t="n">
        <v>21</v>
      </c>
      <c r="B28" s="168" t="inlineStr">
        <is>
          <t>Youth Sports Logistics
Інструменти для дитячих команд: розклади, батьки, тренери, відвідуваність, координація. Багато privacy і ops-ризиків.</t>
        </is>
      </c>
      <c r="C28" s="142" t="n">
        <v>2</v>
      </c>
      <c r="D28" s="61" t="inlineStr">
        <is>
          <t>🚫 KILL — мало грошей</t>
        </is>
      </c>
      <c r="E28" s="163" t="inlineStr">
        <is>
          <t>🎓 §2.A Small $ · §2.D Fit weak (Strava = adult brand)
💬 Ментор: «Виглядає як мало грошей — skip»
🏁 TeamSnap entrenched · SportsEngine dominant</t>
        </is>
      </c>
    </row>
    <row r="29" ht="80" customHeight="1" s="23">
      <c r="A29" s="139" t="n">
        <v>22</v>
      </c>
      <c r="B29" s="168" t="inlineStr">
        <is>
          <t>Strava Paws / Dog-Friendly Activities
Шар для активностей із собакою: dog-friendly runs, community events і challenge-и для pet lifestyle + рухова активність.</t>
        </is>
      </c>
      <c r="C29" s="142" t="n">
        <v>2</v>
      </c>
      <c r="D29" s="61" t="inlineStr">
        <is>
          <t>🚫 KILL — нуль scale-apps</t>
        </is>
      </c>
      <c r="E29" s="163" t="inlineStr">
        <is>
          <t>🎓 §2.A niche · §2.D Fit weak
💬 Ментор: «Оцінити % бігунів з собаками»
📊 Нуль scale-apps у dog-fitness (negative signal)</t>
        </is>
      </c>
    </row>
    <row r="30" ht="80" customHeight="1" s="23">
      <c r="A30" s="139" t="n">
        <v>23</v>
      </c>
      <c r="B30" s="168" t="inlineStr">
        <is>
          <t>Strava Virtual / AR Training
Віртуальні тренування або AR-досвід. Ефектно, але важко для MVP і слабко пов'язано з головною силою Strava.</t>
        </is>
      </c>
      <c r="C30" s="142" t="n">
        <v>2</v>
      </c>
      <c r="D30" s="61" t="inlineStr">
        <is>
          <t>🚫 KILL — Zwift домінує</t>
        </is>
      </c>
      <c r="E30" s="163" t="inlineStr">
        <is>
          <t>🎓 §2.C конкурент домінує · §2.D Proto Very hard
💬 Ментор: «Скіп»
🏁 Zwift $1B+ valuation — incumbent lock</t>
        </is>
      </c>
    </row>
  </sheetData>
  <mergeCells count="4">
    <mergeCell ref="A8:F8"/>
    <mergeCell ref="A2:F2"/>
    <mergeCell ref="A1:F1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7" customWidth="1" style="23" min="1" max="1"/>
    <col width="36" customWidth="1" style="23" min="2" max="2"/>
    <col width="28" customWidth="1" style="23" min="3" max="3"/>
    <col width="26" customWidth="1" style="23" min="4" max="4"/>
    <col width="52" customWidth="1" style="23" min="5" max="5"/>
  </cols>
  <sheetData>
    <row r="1" ht="32" customHeight="1" s="23">
      <c r="A1" s="74" t="inlineStr">
        <is>
          <t>Paid Tools — Market Data Synthesis · 19 April 2026</t>
        </is>
      </c>
    </row>
    <row r="3" ht="48" customHeight="1" s="23">
      <c r="A3" s="75" t="inlineStr">
        <is>
          <t>Контекст</t>
        </is>
      </c>
      <c r="B3" s="76" t="inlineStr">
        <is>
          <t>Лектор зібрав 40 CSV із Sensor Tower / data.ai-типу тулів: Unified Downloads + Unified Revenue, 3 річні вікна (Apr'23→'26), всі країни, App Store + Google Play.</t>
        </is>
      </c>
    </row>
    <row r="4" ht="48" customHeight="1" s="23">
      <c r="A4" s="75" t="inlineStr">
        <is>
          <t>Що валідовано</t>
        </is>
      </c>
      <c r="B4" s="76" t="inlineStr">
        <is>
          <t>Consumer adjacencies — так. B2B corporate wellness, HR dashboards, enterprise — ні (потрібні PitchBook / Crunchbase / CB Insights).</t>
        </is>
      </c>
    </row>
    <row r="6" ht="26" customHeight="1" s="23">
      <c r="A6" s="77" t="inlineStr">
        <is>
          <t>🥇 Ранжування за силою data-підтримки</t>
        </is>
      </c>
    </row>
    <row r="7" ht="22" customHeight="1" s="23">
      <c r="A7" s="78" t="inlineStr">
        <is>
          <t>Ранг</t>
        </is>
      </c>
      <c r="B7" s="78" t="inlineStr">
        <is>
          <t>Напрям</t>
        </is>
      </c>
      <c r="C7" s="78" t="inlineStr">
        <is>
          <t>Сила сигналу</t>
        </is>
      </c>
      <c r="D7" s="78" t="inlineStr">
        <is>
          <t>Ключова апка-доказ</t>
        </is>
      </c>
      <c r="E7" s="78" t="inlineStr">
        <is>
          <t>Короткий висновок</t>
        </is>
      </c>
    </row>
    <row r="8" ht="40" customHeight="1" s="23">
      <c r="A8" s="53" t="inlineStr">
        <is>
          <t>1</t>
        </is>
      </c>
      <c r="B8" s="79" t="inlineStr">
        <is>
          <t>Strava Escapes / Active Travel</t>
        </is>
      </c>
      <c r="C8" s="53" t="inlineStr">
        <is>
          <t>🟢 Дуже сильно</t>
        </is>
      </c>
      <c r="D8" s="80" t="inlineStr">
        <is>
          <t>AllTrails $76M · komoot $35M</t>
        </is>
      </c>
      <c r="E8" s="80" t="inlineStr">
        <is>
          <t>Outdoor utility реально монетизується; широка географія (DE/FR/US/GB/ES).</t>
        </is>
      </c>
    </row>
    <row r="9" ht="40" customHeight="1" s="23">
      <c r="A9" s="53" t="inlineStr">
        <is>
          <t>2</t>
        </is>
      </c>
      <c r="B9" s="79" t="inlineStr">
        <is>
          <t>Coaching / Guided Training / AI Coach</t>
        </is>
      </c>
      <c r="C9" s="53" t="inlineStr">
        <is>
          <t>🟢 Дуже сильно</t>
        </is>
      </c>
      <c r="D9" s="80" t="inlineStr">
        <is>
          <t>Runna $56M (breakout)</t>
        </is>
      </c>
      <c r="E9" s="80" t="inlineStr">
        <is>
          <t>Найясніший сигнал willingness-to-pay серед consumer adjacencies.</t>
        </is>
      </c>
    </row>
    <row r="10" ht="40" customHeight="1" s="23">
      <c r="A10" s="53" t="inlineStr">
        <is>
          <t>3</t>
        </is>
      </c>
      <c r="B10" s="79" t="inlineStr">
        <is>
          <t>Nutrition / Calorie Counter (AI-wave)</t>
        </is>
      </c>
      <c r="C10" s="53" t="inlineStr">
        <is>
          <t>🟢 Найбільший за revenue, але fit під питанням</t>
        </is>
      </c>
      <c r="D10" s="80" t="inlineStr">
        <is>
          <t>MyFitnessPal $382M · Cal AI +172% YoY</t>
        </is>
      </c>
      <c r="E10" s="80" t="inlineStr">
        <is>
          <t>Найбільший revenue-кластер у датасеті ($833M, +17% YoY). AI-хвиля: Cal AI, Calo, BitePal. 💬 Ментор: «не викидати з шорт-ліста». Fit-питання відкрите.</t>
        </is>
      </c>
    </row>
    <row r="11" ht="40" customHeight="1" s="23">
      <c r="A11" s="53" t="n">
        <v>4</v>
      </c>
      <c r="B11" s="79" t="inlineStr">
        <is>
          <t>Strava Courts / Social Sports</t>
        </is>
      </c>
      <c r="C11" s="53" t="inlineStr">
        <is>
          <t>🟢 Timely нішa</t>
        </is>
      </c>
      <c r="D11" s="80" t="inlineStr">
        <is>
          <t>Playtomic 3.4M downloads</t>
        </is>
      </c>
      <c r="E11" s="80" t="inlineStr">
        <is>
          <t>Менший ринок, але найшвидше зростання; сильний mentor-discussion кандидат.</t>
        </is>
      </c>
    </row>
    <row r="12" ht="40" customHeight="1" s="23">
      <c r="A12" s="59" t="n">
        <v>5</v>
      </c>
      <c r="B12" s="81" t="inlineStr">
        <is>
          <t>Race / Event / Local Experiences</t>
        </is>
      </c>
      <c r="C12" s="59" t="inlineStr">
        <is>
          <t>🟡 Помірно</t>
        </is>
      </c>
      <c r="D12" s="82" t="inlineStr">
        <is>
          <t>GetYourGuide 17.5M · Meetup $14M</t>
        </is>
      </c>
      <c r="E12" s="82" t="inlineStr">
        <is>
          <t>Demand on discovery behavior — великий; мобільний revenue недооцінений.</t>
        </is>
      </c>
    </row>
    <row r="13" ht="40" customHeight="1" s="23">
      <c r="A13" s="59" t="n">
        <v>6</v>
      </c>
      <c r="B13" s="81" t="inlineStr">
        <is>
          <t>Recovery / Longevity</t>
        </is>
      </c>
      <c r="C13" s="59" t="inlineStr">
        <is>
          <t>🟡 Demand є, monetization складна</t>
        </is>
      </c>
      <c r="D13" s="82" t="inlineStr">
        <is>
          <t>Oura 3.4M · WHOOP 2.7M</t>
        </is>
      </c>
      <c r="E13" s="82" t="inlineStr">
        <is>
          <t>Hardware-led; працюватиме як premium-feature, а не standalone ринок.</t>
        </is>
      </c>
    </row>
    <row r="14">
      <c r="A14" s="61" t="n">
        <v>7</v>
      </c>
      <c r="B14" s="83" t="inlineStr">
        <is>
          <t>Corporate Wellness / Strava for Work</t>
        </is>
      </c>
      <c r="C14" s="61" t="inlineStr">
        <is>
          <t>🔴 Цим датасетом не валідується</t>
        </is>
      </c>
      <c r="D14" s="84" t="inlineStr">
        <is>
          <t>— (B2B не покритий)</t>
        </is>
      </c>
      <c r="E14" s="84" t="inlineStr">
        <is>
          <t>Потрібні PitchBook / Crunchbase / CB Insights, НЕ app-store дані.</t>
        </is>
      </c>
    </row>
    <row r="15" ht="26" customHeight="1" s="23"/>
    <row r="16" ht="50" customHeight="1" s="23">
      <c r="A16" s="77" t="inlineStr">
        <is>
          <t>💡 Bottom Line</t>
        </is>
      </c>
    </row>
    <row r="17">
      <c r="A17" s="85" t="inlineStr">
        <is>
          <t>Якщо команда хоче найчистішу consumer market validation — Active Travel / Escapes + Coaching / Guided Training — найсильніші data-backed ставки, Strava Courts — найкраща non-obvious ніша. 💬 Ментор додав: Nutrition ($833M) не викидати з шорт-ліста — найбільший revenue-кластер у датасеті.</t>
        </is>
      </c>
    </row>
    <row r="18" ht="40" customHeight="1" s="23"/>
    <row r="19">
      <c r="A19" s="86" t="inlineStr">
        <is>
          <t>⚠️  Ці дані показують де користувачі вже демонструють попит і willingness-to-pay. Вони НЕ замінюють стратегічне судження про те, де у Strava найкраще right-to-win.</t>
        </is>
      </c>
    </row>
  </sheetData>
  <mergeCells count="7">
    <mergeCell ref="B4:E4"/>
    <mergeCell ref="A16:E16"/>
    <mergeCell ref="A15:E15"/>
    <mergeCell ref="A1:E1"/>
    <mergeCell ref="B3:E3"/>
    <mergeCell ref="A6:E6"/>
    <mergeCell ref="A18:E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F5496"/>
    <outlinePr summaryBelow="1" summaryRight="1"/>
    <pageSetUpPr/>
  </sheetPr>
  <dimension ref="A1:H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style="23" min="1" max="1"/>
    <col width="12" customWidth="1" style="23" min="2" max="2"/>
    <col width="12" customWidth="1" style="23" min="3" max="3"/>
    <col width="13" customWidth="1" style="23" min="4" max="4"/>
    <col width="13" customWidth="1" style="23" min="5" max="5"/>
    <col width="11" customWidth="1" style="23" min="6" max="6"/>
    <col width="11" customWidth="1" style="23" min="7" max="7"/>
    <col width="45" customWidth="1" style="23" min="8" max="8"/>
  </cols>
  <sheetData>
    <row r="1" ht="32" customHeight="1" s="23">
      <c r="A1" s="74" t="inlineStr">
        <is>
          <t>Кластери: Downloads + Revenue · YoY signals</t>
        </is>
      </c>
    </row>
    <row r="2"/>
    <row r="3" ht="20" customHeight="1" s="23">
      <c r="A3" s="87" t="inlineStr">
        <is>
          <t>Джерело: 40 CSV (Unified Downloads + Revenue), App Store + Google Play, всі країни, 3 річні вікна</t>
        </is>
      </c>
    </row>
    <row r="4"/>
    <row r="5" ht="34" customHeight="1" s="23">
      <c r="A5" s="78" t="inlineStr">
        <is>
          <t>Кластер</t>
        </is>
      </c>
      <c r="B5" s="78" t="inlineStr">
        <is>
          <t>DL 2023-24</t>
        </is>
      </c>
      <c r="C5" s="78" t="inlineStr">
        <is>
          <t>DL 2024-25</t>
        </is>
      </c>
      <c r="D5" s="78" t="inlineStr">
        <is>
          <t>DL 2025-26</t>
        </is>
      </c>
      <c r="E5" s="78" t="inlineStr">
        <is>
          <t>Rev 2025-26</t>
        </is>
      </c>
      <c r="F5" s="78" t="inlineStr">
        <is>
          <t>YoY DL '24/'23</t>
        </is>
      </c>
      <c r="G5" s="78" t="inlineStr">
        <is>
          <t>YoY DL '25/'24</t>
        </is>
      </c>
      <c r="H5" s="78" t="inlineStr">
        <is>
          <t>Інтерпретація</t>
        </is>
      </c>
    </row>
    <row r="6" ht="44" customHeight="1" s="23">
      <c r="A6" s="88" t="inlineStr">
        <is>
          <t>🟢 Outdoor / Active Travel</t>
        </is>
      </c>
      <c r="B6" s="89" t="n">
        <v>54.6</v>
      </c>
      <c r="C6" s="89" t="n">
        <v>66.59999999999999</v>
      </c>
      <c r="D6" s="90" t="n">
        <v>91.7</v>
      </c>
      <c r="E6" s="91" t="n">
        <v>326.6</v>
      </c>
      <c r="F6" s="92" t="inlineStr">
        <is>
          <t>+22.1%</t>
        </is>
      </c>
      <c r="G6" s="92" t="inlineStr">
        <is>
          <t>+37.7%</t>
        </is>
      </c>
      <c r="H6" s="80" t="inlineStr">
        <is>
          <t>Великий і зростаючий ринок; outdoor planning і discovery реально монетизуються</t>
        </is>
      </c>
    </row>
    <row r="7" ht="44" customHeight="1" s="23">
      <c r="A7" s="88" t="inlineStr">
        <is>
          <t>🟢 Coaching / Training</t>
        </is>
      </c>
      <c r="B7" s="89" t="n">
        <v>2.6</v>
      </c>
      <c r="C7" s="89" t="n">
        <v>4.4</v>
      </c>
      <c r="D7" s="90" t="n">
        <v>7.5</v>
      </c>
      <c r="E7" s="91" t="n">
        <v>68.7</v>
      </c>
      <c r="F7" s="92" t="inlineStr">
        <is>
          <t>+68.5%</t>
        </is>
      </c>
      <c r="G7" s="92" t="inlineStr">
        <is>
          <t>+71.4%</t>
        </is>
      </c>
      <c r="H7" s="80" t="inlineStr">
        <is>
          <t>Одна з найсильніших consumer ніш за growth + monetization</t>
        </is>
      </c>
    </row>
    <row r="8" ht="44" customHeight="1" s="23">
      <c r="A8" s="88" t="inlineStr">
        <is>
          <t>🟢 Social Sports / Courts</t>
        </is>
      </c>
      <c r="B8" s="89" t="n">
        <v>2.6</v>
      </c>
      <c r="C8" s="89" t="n">
        <v>3.6</v>
      </c>
      <c r="D8" s="90" t="n">
        <v>4.4</v>
      </c>
      <c r="E8" s="91" t="n">
        <v>2.9</v>
      </c>
      <c r="F8" s="92" t="inlineStr">
        <is>
          <t>+39.8%</t>
        </is>
      </c>
      <c r="G8" s="92" t="inlineStr">
        <is>
          <t>+22.0%</t>
        </is>
      </c>
      <c r="H8" s="80" t="inlineStr">
        <is>
          <t>Менший ринок, але дуже швидке зростання; сильний сигнал non-obvious bet</t>
        </is>
      </c>
    </row>
    <row r="9" ht="44" customHeight="1" s="23">
      <c r="A9" s="93" t="inlineStr">
        <is>
          <t>🟡 Events / Travel Discovery</t>
        </is>
      </c>
      <c r="B9" s="94" t="n">
        <v>40</v>
      </c>
      <c r="C9" s="94" t="n">
        <v>46.9</v>
      </c>
      <c r="D9" s="95" t="n">
        <v>46.7</v>
      </c>
      <c r="E9" s="96" t="n">
        <v>14.1</v>
      </c>
      <c r="F9" s="97" t="inlineStr">
        <is>
          <t>+17.3%</t>
        </is>
      </c>
      <c r="G9" s="97" t="inlineStr">
        <is>
          <t>-0.4%</t>
        </is>
      </c>
      <c r="H9" s="82" t="inlineStr">
        <is>
          <t>Дуже великий user demand на discovery, travel і event behavior</t>
        </is>
      </c>
    </row>
    <row r="10" ht="44" customHeight="1" s="23">
      <c r="A10" s="93" t="inlineStr">
        <is>
          <t>🟡 Recovery / Longevity</t>
        </is>
      </c>
      <c r="B10" s="94" t="n">
        <v>1.8</v>
      </c>
      <c r="C10" s="94" t="n">
        <v>3.4</v>
      </c>
      <c r="D10" s="95" t="n">
        <v>6.2</v>
      </c>
      <c r="E10" s="96" t="n">
        <v>0.7</v>
      </c>
      <c r="F10" s="97" t="inlineStr">
        <is>
          <t>+90.1%</t>
        </is>
      </c>
      <c r="G10" s="97" t="inlineStr">
        <is>
          <t>+82.8%</t>
        </is>
      </c>
      <c r="H10" s="82" t="inlineStr">
        <is>
          <t>Попит є, але app-store monetization слабко відображає реальний бізнес (hardware-led)</t>
        </is>
      </c>
    </row>
    <row r="11" ht="44" customHeight="1" s="23">
      <c r="A11" s="93" t="inlineStr">
        <is>
          <t>🟡 Community / Team Ops</t>
        </is>
      </c>
      <c r="B11" s="94" t="n">
        <v>16.3</v>
      </c>
      <c r="C11" s="94" t="n">
        <v>16.3</v>
      </c>
      <c r="D11" s="95" t="n">
        <v>16.5</v>
      </c>
      <c r="E11" s="96" t="n">
        <v>4.7</v>
      </c>
      <c r="F11" s="97" t="inlineStr">
        <is>
          <t>+0.0%</t>
        </is>
      </c>
      <c r="G11" s="97" t="inlineStr">
        <is>
          <t>+1.2%</t>
        </is>
      </c>
      <c r="H11" s="82" t="inlineStr">
        <is>
          <t>Стабільний, але не вибуховий ринок; utility layer, а не sexy expansion story</t>
        </is>
      </c>
    </row>
    <row r="12">
      <c r="A12" s="177" t="inlineStr">
        <is>
          <t>🟢 Nutrition / Calorie Counter</t>
        </is>
      </c>
      <c r="B12" s="94" t="inlineStr">
        <is>
          <t>$301M</t>
        </is>
      </c>
      <c r="C12" s="94" t="inlineStr">
        <is>
          <t>$714M</t>
        </is>
      </c>
      <c r="D12" s="95" t="inlineStr">
        <is>
          <t>$833M</t>
        </is>
      </c>
      <c r="E12" s="96" t="n">
        <v>833.2</v>
      </c>
      <c r="F12" s="97" t="inlineStr">
        <is>
          <t>+137%</t>
        </is>
      </c>
      <c r="G12" s="97" t="inlineStr">
        <is>
          <t>+16.7%</t>
        </is>
      </c>
      <c r="H12" s="178" t="inlineStr">
        <is>
          <t>⚠️ DL-ДАНИХ НЕМАЄ — nutrition apps тільки у Revenue-файлах ментора.
Колонки "DL" для цього рядка = Revenue ($M): $301M → $714M → $833M.
Найбільший revenue-кластер у датасеті. AI-хвиля: Cal AI +172%, Calo +2850%, BitePal +897%.
💬 Ментор: не викидати з шорт-ліста.</t>
        </is>
      </c>
    </row>
    <row r="13"/>
    <row r="14"/>
    <row r="15">
      <c r="A15" s="98" t="inlineStr">
        <is>
          <t>Легенда: 🟢 сильно підтримано даними · 🟡 є нюанси · 🔴 не валідується цим пакетом</t>
        </is>
      </c>
    </row>
  </sheetData>
  <mergeCells count="3">
    <mergeCell ref="A3:H3"/>
    <mergeCell ref="A14:H14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/>
  </sheetPr>
  <dimension ref="A1:E57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18" customWidth="1" style="23" min="2" max="2"/>
    <col width="18" customWidth="1" style="23" min="3" max="3"/>
    <col width="30" customWidth="1" style="23" min="4" max="4"/>
    <col width="30" customWidth="1" style="23" min="5" max="5"/>
  </cols>
  <sheetData>
    <row r="1" ht="32" customHeight="1" s="23">
      <c r="A1" s="74" t="inlineStr">
        <is>
          <t>Key App Readout · 2025-2026</t>
        </is>
      </c>
    </row>
    <row r="3" ht="44" customHeight="1" s="23">
      <c r="A3" s="99" t="inlineStr">
        <is>
          <t>Знизу — ТОП-апки в кожному кластері. Даних достатньо, щоб шукати їх у Sensor Tower, data.ai, AppTweak. ⚠️ Revenue = $0 часто означає монетизацію поза app store (B2B, web, hardware, marketplace).</t>
        </is>
      </c>
    </row>
    <row r="5" ht="26" customHeight="1" s="23">
      <c r="A5" s="77" t="inlineStr">
        <is>
          <t>🟢 Outdoor / Active Travel</t>
        </is>
      </c>
    </row>
    <row r="6" ht="22" customHeight="1" s="23">
      <c r="A6" s="100" t="inlineStr">
        <is>
          <t>App</t>
        </is>
      </c>
      <c r="B6" s="100" t="inlineStr">
        <is>
          <t>Downloads '25-26</t>
        </is>
      </c>
      <c r="C6" s="100" t="inlineStr">
        <is>
          <t>Revenue '25-26</t>
        </is>
      </c>
      <c r="D6" s="100" t="inlineStr">
        <is>
          <t>Signal</t>
        </is>
      </c>
    </row>
    <row r="7" ht="32" customHeight="1" s="23">
      <c r="A7" s="101" t="inlineStr">
        <is>
          <t>Strava</t>
        </is>
      </c>
      <c r="B7" s="89" t="n">
        <v>59.95</v>
      </c>
      <c r="C7" s="91" t="n">
        <v>189.57</v>
      </c>
      <c r="D7" s="102" t="inlineStr">
        <is>
          <t>Already massive platform; strong monetization. Baseline.</t>
        </is>
      </c>
      <c r="E7" s="103" t="n"/>
    </row>
    <row r="8" ht="32" customHeight="1" s="23">
      <c r="A8" s="101" t="inlineStr">
        <is>
          <t>AllTrails</t>
        </is>
      </c>
      <c r="B8" s="89" t="n">
        <v>15.7</v>
      </c>
      <c r="C8" s="91" t="n">
        <v>76.03</v>
      </c>
      <c r="D8" s="102" t="inlineStr">
        <is>
          <t>Outdoor discovery/trail utility дуже реальна і монетизується.</t>
        </is>
      </c>
      <c r="E8" s="103" t="n"/>
    </row>
    <row r="9" ht="32" customHeight="1" s="23">
      <c r="A9" s="101" t="inlineStr">
        <is>
          <t>komoot</t>
        </is>
      </c>
      <c r="B9" s="89" t="n">
        <v>8.1</v>
      </c>
      <c r="C9" s="91" t="n">
        <v>35.29</v>
      </c>
      <c r="D9" s="102" t="inlineStr">
        <is>
          <t>Paid route-planning layer — доведено.</t>
        </is>
      </c>
      <c r="E9" s="103" t="n"/>
    </row>
    <row r="10" ht="32" customHeight="1" s="23">
      <c r="A10" s="101" t="inlineStr">
        <is>
          <t>Wikiloc</t>
        </is>
      </c>
      <c r="B10" s="89" t="n">
        <v>4.54</v>
      </c>
      <c r="C10" s="91" t="n">
        <v>9.74</v>
      </c>
      <c r="D10" s="102" t="inlineStr">
        <is>
          <t>User-generated trail library теж має paid demand.</t>
        </is>
      </c>
      <c r="E10" s="103" t="n"/>
    </row>
    <row r="11" ht="32" customHeight="1" s="23">
      <c r="A11" s="101" t="inlineStr">
        <is>
          <t>Outdooractive</t>
        </is>
      </c>
      <c r="B11" s="89" t="n">
        <v>1.14</v>
      </c>
      <c r="C11" s="91" t="n">
        <v>3.94</v>
      </c>
      <c r="D11" s="102" t="inlineStr">
        <is>
          <t>Менша ніша, але professional outdoor planning існує.</t>
        </is>
      </c>
      <c r="E11" s="103" t="n"/>
    </row>
    <row r="12" ht="32" customHeight="1" s="23">
      <c r="A12" s="104" t="inlineStr">
        <is>
          <t>💡 DE/FR/US/GB/ES — широка геогра­фія; multiple subpositions всередині outdoor.</t>
        </is>
      </c>
      <c r="B12" s="105" t="n"/>
      <c r="C12" s="105" t="n"/>
      <c r="D12" s="105" t="n"/>
      <c r="E12" s="103" t="n"/>
    </row>
    <row r="14" ht="26" customHeight="1" s="23">
      <c r="A14" s="77" t="inlineStr">
        <is>
          <t>🟢 Coaching / Training</t>
        </is>
      </c>
    </row>
    <row r="15" ht="22" customHeight="1" s="23">
      <c r="A15" s="100" t="inlineStr">
        <is>
          <t>App</t>
        </is>
      </c>
      <c r="B15" s="100" t="inlineStr">
        <is>
          <t>Downloads '25-26</t>
        </is>
      </c>
      <c r="C15" s="100" t="inlineStr">
        <is>
          <t>Revenue '25-26</t>
        </is>
      </c>
      <c r="D15" s="100" t="inlineStr">
        <is>
          <t>Signal</t>
        </is>
      </c>
    </row>
    <row r="16" ht="32" customHeight="1" s="23">
      <c r="A16" s="101" t="inlineStr">
        <is>
          <t>Runna</t>
        </is>
      </c>
      <c r="B16" s="89" t="n">
        <v>6.61</v>
      </c>
      <c r="C16" s="91" t="n">
        <v>56.05</v>
      </c>
      <c r="D16" s="102" t="inlineStr">
        <is>
          <t>Breakout winner; найсильніший proof що guided training — hot.</t>
        </is>
      </c>
      <c r="E16" s="103" t="n"/>
    </row>
    <row r="17" ht="32" customHeight="1" s="23">
      <c r="A17" s="101" t="inlineStr">
        <is>
          <t>TrainingPeaks</t>
        </is>
      </c>
      <c r="B17" s="106" t="n">
        <v>0.36</v>
      </c>
      <c r="C17" s="91" t="n">
        <v>6.96</v>
      </c>
      <c r="D17" s="102" t="inlineStr">
        <is>
          <t>Менша, але highly monetized pro-grade niche.</t>
        </is>
      </c>
      <c r="E17" s="103" t="n"/>
    </row>
    <row r="18" ht="32" customHeight="1" s="23">
      <c r="A18" s="101" t="inlineStr">
        <is>
          <t>GOWOD</t>
        </is>
      </c>
      <c r="B18" s="106" t="n">
        <v>0.31</v>
      </c>
      <c r="C18" s="91" t="n">
        <v>4.44</v>
      </c>
      <c r="D18" s="102" t="inlineStr">
        <is>
          <t>Mobility/performance add-on монетизується несподівано добре.</t>
        </is>
      </c>
      <c r="E18" s="103" t="n"/>
    </row>
    <row r="19" ht="32" customHeight="1" s="23">
      <c r="A19" s="101" t="inlineStr">
        <is>
          <t>CoachNow</t>
        </is>
      </c>
      <c r="B19" s="106" t="n">
        <v>0.15</v>
      </c>
      <c r="C19" s="107" t="n">
        <v>0.48</v>
      </c>
      <c r="D19" s="102" t="inlineStr">
        <is>
          <t>Coach workflow існує, але менша.</t>
        </is>
      </c>
      <c r="E19" s="103" t="n"/>
    </row>
    <row r="20" ht="32" customHeight="1" s="23">
      <c r="A20" s="101" t="inlineStr">
        <is>
          <t>Recover Athletics</t>
        </is>
      </c>
      <c r="B20" s="106" t="n">
        <v>0.02</v>
      </c>
      <c r="C20" s="107" t="n">
        <v>0.12</v>
      </c>
      <c r="D20" s="102" t="inlineStr">
        <is>
          <t>Recovery add-on існує, але не breakout.</t>
        </is>
      </c>
      <c r="E20" s="103" t="n"/>
    </row>
    <row r="21" ht="32" customHeight="1" s="23">
      <c r="A21" s="104" t="inlineStr">
        <is>
          <t>💡 Валідує: Coach Marketplace, Guided Training, AI Coach / Performance Plans.</t>
        </is>
      </c>
      <c r="B21" s="105" t="n"/>
      <c r="C21" s="105" t="n"/>
      <c r="D21" s="105" t="n"/>
      <c r="E21" s="103" t="n"/>
    </row>
    <row r="23" ht="26" customHeight="1" s="23">
      <c r="A23" s="77" t="inlineStr">
        <is>
          <t>🟢 Social Sports / Courts</t>
        </is>
      </c>
    </row>
    <row r="24" ht="22" customHeight="1" s="23">
      <c r="A24" s="100" t="inlineStr">
        <is>
          <t>App</t>
        </is>
      </c>
      <c r="B24" s="100" t="inlineStr">
        <is>
          <t>Downloads '25-26</t>
        </is>
      </c>
      <c r="C24" s="100" t="inlineStr">
        <is>
          <t>Revenue '25-26</t>
        </is>
      </c>
      <c r="D24" s="100" t="inlineStr">
        <is>
          <t>Signal</t>
        </is>
      </c>
    </row>
    <row r="25" ht="32" customHeight="1" s="23">
      <c r="A25" s="101" t="inlineStr">
        <is>
          <t>Playtomic</t>
        </is>
      </c>
      <c r="B25" s="89" t="n">
        <v>3.43</v>
      </c>
      <c r="C25" s="91" t="n">
        <v>2.8</v>
      </c>
      <c r="D25" s="102" t="inlineStr">
        <is>
          <t>Найсильніший proof для padel/courts категорії.</t>
        </is>
      </c>
      <c r="E25" s="103" t="n"/>
    </row>
    <row r="26" ht="32" customHeight="1" s="23">
      <c r="A26" s="101" t="inlineStr">
        <is>
          <t>CourtReserve</t>
        </is>
      </c>
      <c r="B26" s="106" t="n">
        <v>0.47</v>
      </c>
      <c r="C26" s="107" t="n">
        <v>0</v>
      </c>
      <c r="D26" s="102" t="inlineStr">
        <is>
          <t>Bookings/ops utility явно використовується (revenue поза app).</t>
        </is>
      </c>
      <c r="E26" s="103" t="n"/>
    </row>
    <row r="27" ht="32" customHeight="1" s="23">
      <c r="A27" s="101" t="inlineStr">
        <is>
          <t>MATCHi</t>
        </is>
      </c>
      <c r="B27" s="106" t="n">
        <v>0.26</v>
      </c>
      <c r="C27" s="107" t="n">
        <v>0</v>
      </c>
      <c r="D27" s="102" t="inlineStr">
        <is>
          <t>Niche але persistent.</t>
        </is>
      </c>
      <c r="E27" s="103" t="n"/>
    </row>
    <row r="28" ht="32" customHeight="1" s="23">
      <c r="A28" s="101" t="inlineStr">
        <is>
          <t>Pickleheads</t>
        </is>
      </c>
      <c r="B28" s="106" t="n">
        <v>0.2</v>
      </c>
      <c r="C28" s="107" t="n">
        <v>0.04</v>
      </c>
      <c r="D28" s="102" t="inlineStr">
        <is>
          <t>Pickleball layer emerging.</t>
        </is>
      </c>
      <c r="E28" s="103" t="n"/>
    </row>
    <row r="29" ht="32" customHeight="1" s="23">
      <c r="A29" s="101" t="inlineStr">
        <is>
          <t>PlayYourCourt</t>
        </is>
      </c>
      <c r="B29" s="106" t="n">
        <v>0.005</v>
      </c>
      <c r="C29" s="107" t="n">
        <v>0.08</v>
      </c>
      <c r="D29" s="102" t="inlineStr">
        <is>
          <t>Крихітні downloads, але монетизація є.</t>
        </is>
      </c>
      <c r="E29" s="103" t="n"/>
    </row>
    <row r="30" ht="32" customHeight="1" s="23">
      <c r="A30" s="104" t="inlineStr">
        <is>
          <t>💡 Non-obvious timely bet; low app-store revenue — off-app bookings домінують.</t>
        </is>
      </c>
      <c r="B30" s="105" t="n"/>
      <c r="C30" s="105" t="n"/>
      <c r="D30" s="105" t="n"/>
      <c r="E30" s="103" t="n"/>
    </row>
    <row r="32" ht="26" customHeight="1" s="23">
      <c r="A32" s="77" t="inlineStr">
        <is>
          <t>🟡 Events / Travel Discovery</t>
        </is>
      </c>
    </row>
    <row r="33" ht="22" customHeight="1" s="23">
      <c r="A33" s="100" t="inlineStr">
        <is>
          <t>App</t>
        </is>
      </c>
      <c r="B33" s="100" t="inlineStr">
        <is>
          <t>Downloads '25-26</t>
        </is>
      </c>
      <c r="C33" s="100" t="inlineStr">
        <is>
          <t>Revenue '25-26</t>
        </is>
      </c>
      <c r="D33" s="100" t="inlineStr">
        <is>
          <t>Signal</t>
        </is>
      </c>
    </row>
    <row r="34" ht="32" customHeight="1" s="23">
      <c r="A34" s="108" t="inlineStr">
        <is>
          <t>GetYourGuide</t>
        </is>
      </c>
      <c r="B34" s="94" t="n">
        <v>17.52</v>
      </c>
      <c r="C34" s="109" t="n">
        <v>0</v>
      </c>
      <c r="D34" s="110" t="inlineStr">
        <is>
          <t>Дуже сильний travel planning demand (revenue поза app).</t>
        </is>
      </c>
      <c r="E34" s="103" t="n"/>
    </row>
    <row r="35" ht="32" customHeight="1" s="23">
      <c r="A35" s="108" t="inlineStr">
        <is>
          <t>Fever</t>
        </is>
      </c>
      <c r="B35" s="94" t="n">
        <v>11.4</v>
      </c>
      <c r="C35" s="109" t="n">
        <v>0</v>
      </c>
      <c r="D35" s="110" t="inlineStr">
        <is>
          <t>Event discovery behavior — масштабно.</t>
        </is>
      </c>
      <c r="E35" s="103" t="n"/>
    </row>
    <row r="36" ht="32" customHeight="1" s="23">
      <c r="A36" s="108" t="inlineStr">
        <is>
          <t>Eventbrite</t>
        </is>
      </c>
      <c r="B36" s="94" t="n">
        <v>9.279999999999999</v>
      </c>
      <c r="C36" s="109" t="n">
        <v>0</v>
      </c>
      <c r="D36" s="110" t="inlineStr">
        <is>
          <t>Registrations + event search — scale behavior.</t>
        </is>
      </c>
      <c r="E36" s="103" t="n"/>
    </row>
    <row r="37" ht="32" customHeight="1" s="23">
      <c r="A37" s="108" t="inlineStr">
        <is>
          <t>Meetup</t>
        </is>
      </c>
      <c r="B37" s="94" t="n">
        <v>4.89</v>
      </c>
      <c r="C37" s="96" t="n">
        <v>14.11</v>
      </c>
      <c r="D37" s="110" t="inlineStr">
        <is>
          <t>Community + event coordination — монетизується.</t>
        </is>
      </c>
      <c r="E37" s="103" t="n"/>
    </row>
    <row r="38" ht="32" customHeight="1" s="23">
      <c r="A38" s="108" t="inlineStr">
        <is>
          <t>Viator</t>
        </is>
      </c>
      <c r="B38" s="94" t="n">
        <v>3.61</v>
      </c>
      <c r="C38" s="109" t="n">
        <v>0</v>
      </c>
      <c r="D38" s="110" t="inlineStr">
        <is>
          <t>Paid activities/tours — реальна категорія.</t>
        </is>
      </c>
      <c r="E38" s="103" t="n"/>
    </row>
    <row r="39" ht="32" customHeight="1" s="23">
      <c r="A39" s="104" t="inlineStr">
        <is>
          <t>💡 Підсилює Strava Escapes, Local Experiences, Race &amp; Event Marketplace.</t>
        </is>
      </c>
      <c r="B39" s="105" t="n"/>
      <c r="C39" s="105" t="n"/>
      <c r="D39" s="105" t="n"/>
      <c r="E39" s="103" t="n"/>
    </row>
    <row r="41" ht="26" customHeight="1" s="23">
      <c r="A41" s="77" t="inlineStr">
        <is>
          <t>🟡 Recovery / Longevity</t>
        </is>
      </c>
    </row>
    <row r="42" ht="22" customHeight="1" s="23">
      <c r="A42" s="100" t="inlineStr">
        <is>
          <t>App</t>
        </is>
      </c>
      <c r="B42" s="100" t="inlineStr">
        <is>
          <t>Downloads '25-26</t>
        </is>
      </c>
      <c r="C42" s="100" t="inlineStr">
        <is>
          <t>Revenue '25-26</t>
        </is>
      </c>
      <c r="D42" s="100" t="inlineStr">
        <is>
          <t>Signal</t>
        </is>
      </c>
    </row>
    <row r="43" ht="32" customHeight="1" s="23">
      <c r="A43" s="108" t="inlineStr">
        <is>
          <t>Oura</t>
        </is>
      </c>
      <c r="B43" s="94" t="n">
        <v>3.4</v>
      </c>
      <c r="C43" s="109" t="n">
        <v>0</v>
      </c>
      <c r="D43" s="110" t="inlineStr">
        <is>
          <t>Величезний попит, але монетизація поза app stores (hardware).</t>
        </is>
      </c>
      <c r="E43" s="103" t="n"/>
    </row>
    <row r="44" ht="32" customHeight="1" s="23">
      <c r="A44" s="108" t="inlineStr">
        <is>
          <t>WHOOP</t>
        </is>
      </c>
      <c r="B44" s="94" t="n">
        <v>2.7</v>
      </c>
      <c r="C44" s="109" t="n">
        <v>0</v>
      </c>
      <c r="D44" s="110" t="inlineStr">
        <is>
          <t>Сильний попит, та сама caveat.</t>
        </is>
      </c>
      <c r="E44" s="103" t="n"/>
    </row>
    <row r="45" ht="32" customHeight="1" s="23">
      <c r="A45" s="108" t="inlineStr">
        <is>
          <t>Eight Sleep</t>
        </is>
      </c>
      <c r="B45" s="111" t="n">
        <v>0.025</v>
      </c>
      <c r="C45" s="109" t="n">
        <v>0.64</v>
      </c>
      <c r="D45" s="110" t="inlineStr">
        <is>
          <t>Premium sleep/recovery willingness-to-pay існує.</t>
        </is>
      </c>
      <c r="E45" s="103" t="n"/>
    </row>
    <row r="46" ht="32" customHeight="1" s="23">
      <c r="A46" s="108" t="inlineStr">
        <is>
          <t>HRV4Training</t>
        </is>
      </c>
      <c r="B46" s="111" t="n">
        <v>0.02</v>
      </c>
      <c r="C46" s="109" t="n">
        <v>0.11</v>
      </c>
      <c r="D46" s="110" t="inlineStr">
        <is>
          <t>Niche але real.</t>
        </is>
      </c>
      <c r="E46" s="103" t="n"/>
    </row>
    <row r="47" ht="32" customHeight="1" s="23">
      <c r="A47" s="108" t="inlineStr">
        <is>
          <t>Biostrap</t>
        </is>
      </c>
      <c r="B47" s="111" t="n">
        <v>1e-05</v>
      </c>
      <c r="C47" s="109" t="n">
        <v>0.000278</v>
      </c>
      <c r="D47" s="110" t="inlineStr">
        <is>
          <t>Крихітний / згасаючий.</t>
        </is>
      </c>
      <c r="E47" s="103" t="n"/>
    </row>
    <row r="48" ht="32" customHeight="1" s="23">
      <c r="A48" s="104" t="inlineStr">
        <is>
          <t>💡 Сильний сигнал для retention/premium feature, слабший для standalone wedge.</t>
        </is>
      </c>
      <c r="B48" s="105" t="n"/>
      <c r="C48" s="105" t="n"/>
      <c r="D48" s="105" t="n"/>
      <c r="E48" s="103" t="n"/>
    </row>
    <row r="50" ht="26" customHeight="1" s="23">
      <c r="A50" s="77" t="inlineStr">
        <is>
          <t>🟡 Community / Team Ops</t>
        </is>
      </c>
    </row>
    <row r="51" ht="22" customHeight="1" s="23">
      <c r="A51" s="100" t="inlineStr">
        <is>
          <t>App</t>
        </is>
      </c>
      <c r="B51" s="100" t="inlineStr">
        <is>
          <t>Downloads '25-26</t>
        </is>
      </c>
      <c r="C51" s="100" t="inlineStr">
        <is>
          <t>Revenue '25-26</t>
        </is>
      </c>
      <c r="D51" s="100" t="inlineStr">
        <is>
          <t>Signal</t>
        </is>
      </c>
    </row>
    <row r="52" ht="32" customHeight="1" s="23">
      <c r="A52" s="108" t="inlineStr">
        <is>
          <t>GroupMe</t>
        </is>
      </c>
      <c r="B52" s="94" t="n">
        <v>10.02</v>
      </c>
      <c r="C52" s="109" t="n">
        <v>0</v>
      </c>
      <c r="D52" s="110" t="inlineStr">
        <is>
          <t>Communication layer має scale.</t>
        </is>
      </c>
      <c r="E52" s="103" t="n"/>
    </row>
    <row r="53" ht="32" customHeight="1" s="23">
      <c r="A53" s="108" t="inlineStr">
        <is>
          <t>Spond</t>
        </is>
      </c>
      <c r="B53" s="94" t="n">
        <v>2.39</v>
      </c>
      <c r="C53" s="109" t="n">
        <v>0</v>
      </c>
      <c r="D53" s="110" t="inlineStr">
        <is>
          <t>Team coordination useful, але utility-like.</t>
        </is>
      </c>
      <c r="E53" s="103" t="n"/>
    </row>
    <row r="54" ht="32" customHeight="1" s="23">
      <c r="A54" s="108" t="inlineStr">
        <is>
          <t>TeamSnap</t>
        </is>
      </c>
      <c r="B54" s="94" t="n">
        <v>1.62</v>
      </c>
      <c r="C54" s="96" t="n">
        <v>3.8</v>
      </c>
      <c r="D54" s="110" t="inlineStr">
        <is>
          <t>Team management монетизується, але не explosively.</t>
        </is>
      </c>
      <c r="E54" s="103" t="n"/>
    </row>
    <row r="55" ht="32" customHeight="1" s="23">
      <c r="A55" s="108" t="inlineStr">
        <is>
          <t>SportsEngine</t>
        </is>
      </c>
      <c r="B55" s="111" t="n">
        <v>0.99</v>
      </c>
      <c r="C55" s="109" t="n">
        <v>0</v>
      </c>
      <c r="D55" s="110" t="inlineStr">
        <is>
          <t>Durable але не breakout.</t>
        </is>
      </c>
      <c r="E55" s="103" t="n"/>
    </row>
    <row r="56" ht="32" customHeight="1" s="23">
      <c r="A56" s="108" t="inlineStr">
        <is>
          <t>Heja</t>
        </is>
      </c>
      <c r="B56" s="111" t="n">
        <v>0.79</v>
      </c>
      <c r="C56" s="109" t="n">
        <v>0.91</v>
      </c>
      <c r="D56" s="110" t="inlineStr">
        <is>
          <t>Менша але монетизована.</t>
        </is>
      </c>
      <c r="E56" s="103" t="n"/>
    </row>
    <row r="57" ht="32" customHeight="1" s="23">
      <c r="A57" s="104" t="inlineStr">
        <is>
          <t>💡 Проявляє ongoing utility, але не flagship expansion wedge.</t>
        </is>
      </c>
      <c r="B57" s="105" t="n"/>
      <c r="C57" s="105" t="n"/>
      <c r="D57" s="105" t="n"/>
      <c r="E57" s="103" t="n"/>
    </row>
  </sheetData>
  <mergeCells count="44">
    <mergeCell ref="A30:E30"/>
    <mergeCell ref="D20:E20"/>
    <mergeCell ref="A39:E39"/>
    <mergeCell ref="A48:E48"/>
    <mergeCell ref="D10:E10"/>
    <mergeCell ref="D19:E19"/>
    <mergeCell ref="D34:E34"/>
    <mergeCell ref="A1:E1"/>
    <mergeCell ref="D46:E46"/>
    <mergeCell ref="D36:E36"/>
    <mergeCell ref="D45:E45"/>
    <mergeCell ref="D52:E52"/>
    <mergeCell ref="D11:E11"/>
    <mergeCell ref="D27:E27"/>
    <mergeCell ref="A41:E41"/>
    <mergeCell ref="D17:E17"/>
    <mergeCell ref="D53:E53"/>
    <mergeCell ref="A21:E21"/>
    <mergeCell ref="A3:E3"/>
    <mergeCell ref="D47:E47"/>
    <mergeCell ref="A12:E12"/>
    <mergeCell ref="D16:E16"/>
    <mergeCell ref="A50:E50"/>
    <mergeCell ref="D7:E7"/>
    <mergeCell ref="A57:E57"/>
    <mergeCell ref="D43:E43"/>
    <mergeCell ref="D37:E37"/>
    <mergeCell ref="D28:E28"/>
    <mergeCell ref="A5:E5"/>
    <mergeCell ref="A23:E23"/>
    <mergeCell ref="A32:E32"/>
    <mergeCell ref="D18:E18"/>
    <mergeCell ref="A14:E14"/>
    <mergeCell ref="D56:E56"/>
    <mergeCell ref="D9:E9"/>
    <mergeCell ref="D8:E8"/>
    <mergeCell ref="D25:E25"/>
    <mergeCell ref="D55:E55"/>
    <mergeCell ref="D29:E29"/>
    <mergeCell ref="D38:E38"/>
    <mergeCell ref="D54:E54"/>
    <mergeCell ref="D26:E26"/>
    <mergeCell ref="D44:E44"/>
    <mergeCell ref="D35:E3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3"/>
  <sheetViews>
    <sheetView workbookViewId="0">
      <selection activeCell="A1" sqref="A1"/>
    </sheetView>
  </sheetViews>
  <sheetFormatPr baseColWidth="8" defaultRowHeight="15"/>
  <cols>
    <col width="38" customWidth="1" style="23" min="1" max="1"/>
    <col width="12" customWidth="1" style="23" min="2" max="2"/>
    <col width="12" customWidth="1" style="23" min="3" max="3"/>
    <col width="12" customWidth="1" style="23" min="4" max="4"/>
    <col width="10" customWidth="1" style="23" min="5" max="5"/>
    <col width="11" customWidth="1" style="23" min="6" max="6"/>
    <col width="11" customWidth="1" style="23" min="7" max="7"/>
    <col width="11" customWidth="1" style="23" min="8" max="8"/>
    <col width="10" customWidth="1" style="23" min="9" max="9"/>
    <col width="50" customWidth="1" style="23" min="10" max="10"/>
  </cols>
  <sheetData>
    <row r="1" ht="24" customHeight="1" s="23">
      <c r="A1" s="152" t="inlineStr">
        <is>
          <t>Apps Detail — Revenue &amp; Downloads по кластерах · 3 роки</t>
        </is>
      </c>
    </row>
    <row r="2" ht="16" customHeight="1" s="23">
      <c r="A2" s="153" t="inlineStr">
        <is>
          <t>Джерело: платні CSV-файли ментора (Sensor Tower / data.ai). Revenue = App Store + Google Play. — означає відсутність у тому типі файлів.</t>
        </is>
      </c>
    </row>
    <row r="4" ht="20" customHeight="1" s="23">
      <c r="A4" s="154" t="inlineStr">
        <is>
          <t>🟢 Outdoor / Active Travel</t>
        </is>
      </c>
    </row>
    <row r="5" ht="18" customHeight="1" s="23">
      <c r="A5" s="155" t="inlineStr">
        <is>
          <t>App</t>
        </is>
      </c>
      <c r="B5" s="155" t="inlineStr">
        <is>
          <t>Rev 2023-24</t>
        </is>
      </c>
      <c r="C5" s="155" t="inlineStr">
        <is>
          <t>Rev 2024-25</t>
        </is>
      </c>
      <c r="D5" s="155" t="inlineStr">
        <is>
          <t>Rev 2025-26</t>
        </is>
      </c>
      <c r="E5" s="155" t="inlineStr">
        <is>
          <t>YoY Rev</t>
        </is>
      </c>
      <c r="F5" s="155" t="inlineStr">
        <is>
          <t>DL 2023-24</t>
        </is>
      </c>
      <c r="G5" s="155" t="inlineStr">
        <is>
          <t>DL 2024-25</t>
        </is>
      </c>
      <c r="H5" s="155" t="inlineStr">
        <is>
          <t>DL 2025-26</t>
        </is>
      </c>
      <c r="I5" s="155" t="inlineStr">
        <is>
          <t>YoY DL</t>
        </is>
      </c>
      <c r="J5" s="155" t="inlineStr">
        <is>
          <t>Signal</t>
        </is>
      </c>
    </row>
    <row r="6" ht="16" customHeight="1" s="23">
      <c r="A6" s="156" t="inlineStr">
        <is>
          <t>AllTrails</t>
        </is>
      </c>
      <c r="B6" s="157" t="n">
        <v>56.87</v>
      </c>
      <c r="C6" s="157" t="n">
        <v>70.3</v>
      </c>
      <c r="D6" s="157" t="n">
        <v>76.03</v>
      </c>
      <c r="E6" s="157" t="inlineStr">
        <is>
          <t>+8.2%</t>
        </is>
      </c>
      <c r="F6" s="157" t="inlineStr">
        <is>
          <t>—</t>
        </is>
      </c>
      <c r="G6" s="157" t="inlineStr">
        <is>
          <t>—</t>
        </is>
      </c>
      <c r="H6" s="157" t="inlineStr">
        <is>
          <t>—</t>
        </is>
      </c>
      <c r="I6" s="157" t="inlineStr">
        <is>
          <t>—</t>
        </is>
      </c>
      <c r="J6" s="157" t="inlineStr"/>
    </row>
    <row r="7" ht="16" customHeight="1" s="23">
      <c r="A7" s="156" t="inlineStr">
        <is>
          <t>komoot</t>
        </is>
      </c>
      <c r="B7" s="157" t="n">
        <v>23.48</v>
      </c>
      <c r="C7" s="157" t="n">
        <v>26.62</v>
      </c>
      <c r="D7" s="157" t="n">
        <v>35.29</v>
      </c>
      <c r="E7" s="157" t="inlineStr">
        <is>
          <t>+32.6%</t>
        </is>
      </c>
      <c r="F7" s="157" t="inlineStr">
        <is>
          <t>—</t>
        </is>
      </c>
      <c r="G7" s="157" t="inlineStr">
        <is>
          <t>—</t>
        </is>
      </c>
      <c r="H7" s="157" t="inlineStr">
        <is>
          <t>—</t>
        </is>
      </c>
      <c r="I7" s="157" t="inlineStr">
        <is>
          <t>—</t>
        </is>
      </c>
      <c r="J7" s="157" t="inlineStr"/>
    </row>
    <row r="8" ht="16" customHeight="1" s="23">
      <c r="A8" s="156" t="inlineStr">
        <is>
          <t>Wikiloc</t>
        </is>
      </c>
      <c r="B8" s="157" t="n">
        <v>6.56</v>
      </c>
      <c r="C8" s="157" t="n">
        <v>7.87</v>
      </c>
      <c r="D8" s="157" t="n">
        <v>9.74</v>
      </c>
      <c r="E8" s="157" t="inlineStr">
        <is>
          <t>+23.7%</t>
        </is>
      </c>
      <c r="F8" s="157" t="inlineStr">
        <is>
          <t>—</t>
        </is>
      </c>
      <c r="G8" s="157" t="inlineStr">
        <is>
          <t>—</t>
        </is>
      </c>
      <c r="H8" s="157" t="inlineStr">
        <is>
          <t>—</t>
        </is>
      </c>
      <c r="I8" s="157" t="inlineStr">
        <is>
          <t>—</t>
        </is>
      </c>
      <c r="J8" s="157" t="inlineStr"/>
    </row>
    <row r="9" ht="16" customHeight="1" s="23">
      <c r="A9" s="156" t="inlineStr">
        <is>
          <t>Trailforks</t>
        </is>
      </c>
      <c r="B9" s="157" t="n">
        <v>4.27</v>
      </c>
      <c r="C9" s="157" t="n">
        <v>5.21</v>
      </c>
      <c r="D9" s="157" t="n">
        <v>5.27</v>
      </c>
      <c r="E9" s="157" t="inlineStr">
        <is>
          <t>+1.3%</t>
        </is>
      </c>
      <c r="F9" s="157" t="inlineStr">
        <is>
          <t>—</t>
        </is>
      </c>
      <c r="G9" s="157" t="inlineStr">
        <is>
          <t>—</t>
        </is>
      </c>
      <c r="H9" s="157" t="inlineStr">
        <is>
          <t>—</t>
        </is>
      </c>
      <c r="I9" s="157" t="inlineStr">
        <is>
          <t>—</t>
        </is>
      </c>
      <c r="J9" s="157" t="inlineStr"/>
    </row>
    <row r="10" ht="16" customHeight="1" s="23">
      <c r="A10" s="156" t="inlineStr">
        <is>
          <t>Ride with GPS</t>
        </is>
      </c>
      <c r="B10" s="157" t="n">
        <v>4.36</v>
      </c>
      <c r="C10" s="157" t="n">
        <v>4.79</v>
      </c>
      <c r="D10" s="157" t="n">
        <v>5.14</v>
      </c>
      <c r="E10" s="157" t="inlineStr">
        <is>
          <t>+7.2%</t>
        </is>
      </c>
      <c r="F10" s="157" t="inlineStr">
        <is>
          <t>—</t>
        </is>
      </c>
      <c r="G10" s="157" t="inlineStr">
        <is>
          <t>—</t>
        </is>
      </c>
      <c r="H10" s="157" t="inlineStr">
        <is>
          <t>—</t>
        </is>
      </c>
      <c r="I10" s="157" t="inlineStr">
        <is>
          <t>—</t>
        </is>
      </c>
      <c r="J10" s="157" t="inlineStr"/>
    </row>
    <row r="11" ht="16" customHeight="1" s="23">
      <c r="A11" s="156" t="inlineStr">
        <is>
          <t>Outdooractive</t>
        </is>
      </c>
      <c r="B11" s="157" t="n">
        <v>3.11</v>
      </c>
      <c r="C11" s="157" t="n">
        <v>3.51</v>
      </c>
      <c r="D11" s="157" t="n">
        <v>3.94</v>
      </c>
      <c r="E11" s="157" t="inlineStr">
        <is>
          <t>+12.3%</t>
        </is>
      </c>
      <c r="F11" s="157" t="inlineStr">
        <is>
          <t>—</t>
        </is>
      </c>
      <c r="G11" s="157" t="inlineStr">
        <is>
          <t>—</t>
        </is>
      </c>
      <c r="H11" s="157" t="inlineStr">
        <is>
          <t>—</t>
        </is>
      </c>
      <c r="I11" s="157" t="inlineStr">
        <is>
          <t>—</t>
        </is>
      </c>
      <c r="J11" s="157" t="inlineStr"/>
    </row>
    <row r="12" ht="16" customHeight="1" s="23">
      <c r="A12" s="156" t="inlineStr">
        <is>
          <t>Bikemap</t>
        </is>
      </c>
      <c r="B12" s="157" t="n">
        <v>1.64</v>
      </c>
      <c r="C12" s="157" t="n">
        <v>1.55</v>
      </c>
      <c r="D12" s="157" t="n">
        <v>1.63</v>
      </c>
      <c r="E12" s="157" t="inlineStr">
        <is>
          <t>+5.4%</t>
        </is>
      </c>
      <c r="F12" s="157" t="inlineStr">
        <is>
          <t>—</t>
        </is>
      </c>
      <c r="G12" s="157" t="inlineStr">
        <is>
          <t>—</t>
        </is>
      </c>
      <c r="H12" s="157" t="inlineStr">
        <is>
          <t>—</t>
        </is>
      </c>
      <c r="I12" s="157" t="inlineStr">
        <is>
          <t>—</t>
        </is>
      </c>
      <c r="J12" s="157" t="inlineStr"/>
    </row>
    <row r="13" ht="16" customHeight="1" s="23">
      <c r="A13" s="156" t="inlineStr">
        <is>
          <t>Garmin Connect</t>
        </is>
      </c>
      <c r="B13" s="157" t="inlineStr">
        <is>
          <t>—</t>
        </is>
      </c>
      <c r="C13" s="157" t="inlineStr">
        <is>
          <t>—</t>
        </is>
      </c>
      <c r="D13" s="157" t="inlineStr">
        <is>
          <t>—</t>
        </is>
      </c>
      <c r="E13" s="157" t="inlineStr">
        <is>
          <t>—</t>
        </is>
      </c>
      <c r="F13" s="157" t="n">
        <v>9.970000000000001</v>
      </c>
      <c r="G13" s="157" t="n">
        <v>11.06</v>
      </c>
      <c r="H13" s="157" t="n">
        <v>13.37</v>
      </c>
      <c r="I13" s="157" t="inlineStr">
        <is>
          <t>+20.9%</t>
        </is>
      </c>
      <c r="J13" s="157" t="inlineStr"/>
    </row>
    <row r="14" ht="18" customHeight="1" s="23">
      <c r="A14" s="158" t="inlineStr">
        <is>
          <t>КЛАСТЕР TOTAL</t>
        </is>
      </c>
      <c r="B14" s="159" t="n">
        <v>100.3</v>
      </c>
      <c r="C14" s="159" t="n">
        <v>119.84</v>
      </c>
      <c r="D14" s="159" t="n">
        <v>137.04</v>
      </c>
      <c r="E14" s="159" t="inlineStr">
        <is>
          <t>+14.3%</t>
        </is>
      </c>
      <c r="F14" s="159" t="n">
        <v>9.970000000000001</v>
      </c>
      <c r="G14" s="159" t="n">
        <v>11.06</v>
      </c>
      <c r="H14" s="159" t="n">
        <v>13.37</v>
      </c>
      <c r="I14" s="159" t="inlineStr">
        <is>
          <t>+20.9%</t>
        </is>
      </c>
      <c r="J14" s="159" t="inlineStr"/>
    </row>
    <row r="16" ht="20" customHeight="1" s="23">
      <c r="A16" s="154" t="inlineStr">
        <is>
          <t>🟢 Coaching / Training</t>
        </is>
      </c>
    </row>
    <row r="17" ht="18" customHeight="1" s="23">
      <c r="A17" s="155" t="inlineStr">
        <is>
          <t>App</t>
        </is>
      </c>
      <c r="B17" s="155" t="inlineStr">
        <is>
          <t>Rev 2023-24</t>
        </is>
      </c>
      <c r="C17" s="155" t="inlineStr">
        <is>
          <t>Rev 2024-25</t>
        </is>
      </c>
      <c r="D17" s="155" t="inlineStr">
        <is>
          <t>Rev 2025-26</t>
        </is>
      </c>
      <c r="E17" s="155" t="inlineStr">
        <is>
          <t>YoY Rev</t>
        </is>
      </c>
      <c r="F17" s="155" t="inlineStr">
        <is>
          <t>DL 2023-24</t>
        </is>
      </c>
      <c r="G17" s="155" t="inlineStr">
        <is>
          <t>DL 2024-25</t>
        </is>
      </c>
      <c r="H17" s="155" t="inlineStr">
        <is>
          <t>DL 2025-26</t>
        </is>
      </c>
      <c r="I17" s="155" t="inlineStr">
        <is>
          <t>YoY DL</t>
        </is>
      </c>
      <c r="J17" s="155" t="inlineStr">
        <is>
          <t>Signal</t>
        </is>
      </c>
    </row>
    <row r="18" ht="16" customHeight="1" s="23">
      <c r="A18" s="156" t="inlineStr">
        <is>
          <t>Runna</t>
        </is>
      </c>
      <c r="B18" s="157" t="n">
        <v>9.74</v>
      </c>
      <c r="C18" s="157" t="n">
        <v>34.97</v>
      </c>
      <c r="D18" s="157" t="n">
        <v>56.05</v>
      </c>
      <c r="E18" s="157" t="inlineStr">
        <is>
          <t>+60.3%</t>
        </is>
      </c>
      <c r="F18" s="157" t="inlineStr">
        <is>
          <t>—</t>
        </is>
      </c>
      <c r="G18" s="157" t="inlineStr">
        <is>
          <t>—</t>
        </is>
      </c>
      <c r="H18" s="157" t="inlineStr">
        <is>
          <t>—</t>
        </is>
      </c>
      <c r="I18" s="157" t="inlineStr">
        <is>
          <t>—</t>
        </is>
      </c>
      <c r="J18" s="157" t="inlineStr"/>
    </row>
    <row r="19" ht="16" customHeight="1" s="23">
      <c r="A19" s="156" t="inlineStr">
        <is>
          <t>TrainingPeaks</t>
        </is>
      </c>
      <c r="B19" s="157" t="n">
        <v>4.79</v>
      </c>
      <c r="C19" s="157" t="n">
        <v>5.84</v>
      </c>
      <c r="D19" s="157" t="n">
        <v>6.96</v>
      </c>
      <c r="E19" s="157" t="inlineStr">
        <is>
          <t>+19.2%</t>
        </is>
      </c>
      <c r="F19" s="157" t="inlineStr">
        <is>
          <t>—</t>
        </is>
      </c>
      <c r="G19" s="157" t="inlineStr">
        <is>
          <t>—</t>
        </is>
      </c>
      <c r="H19" s="157" t="inlineStr">
        <is>
          <t>—</t>
        </is>
      </c>
      <c r="I19" s="157" t="inlineStr">
        <is>
          <t>—</t>
        </is>
      </c>
      <c r="J19" s="157" t="inlineStr"/>
    </row>
    <row r="20" ht="16" customHeight="1" s="23">
      <c r="A20" s="156" t="inlineStr">
        <is>
          <t>GOWOD</t>
        </is>
      </c>
      <c r="B20" s="157" t="n">
        <v>4.68</v>
      </c>
      <c r="C20" s="157" t="n">
        <v>3.73</v>
      </c>
      <c r="D20" s="157" t="n">
        <v>4.44</v>
      </c>
      <c r="E20" s="157" t="inlineStr">
        <is>
          <t>+19.0%</t>
        </is>
      </c>
      <c r="F20" s="157" t="inlineStr">
        <is>
          <t>—</t>
        </is>
      </c>
      <c r="G20" s="157" t="inlineStr">
        <is>
          <t>—</t>
        </is>
      </c>
      <c r="H20" s="157" t="inlineStr">
        <is>
          <t>—</t>
        </is>
      </c>
      <c r="I20" s="157" t="inlineStr">
        <is>
          <t>—</t>
        </is>
      </c>
      <c r="J20" s="157" t="inlineStr"/>
    </row>
    <row r="21" ht="16" customHeight="1" s="23">
      <c r="A21" s="156" t="inlineStr">
        <is>
          <t>CoachNow</t>
        </is>
      </c>
      <c r="B21" s="157" t="n">
        <v>0.24</v>
      </c>
      <c r="C21" s="157" t="n">
        <v>0.4</v>
      </c>
      <c r="D21" s="157" t="n">
        <v>0.48</v>
      </c>
      <c r="E21" s="157" t="inlineStr">
        <is>
          <t>+18.3%</t>
        </is>
      </c>
      <c r="F21" s="157" t="inlineStr">
        <is>
          <t>—</t>
        </is>
      </c>
      <c r="G21" s="157" t="inlineStr">
        <is>
          <t>—</t>
        </is>
      </c>
      <c r="H21" s="157" t="inlineStr">
        <is>
          <t>—</t>
        </is>
      </c>
      <c r="I21" s="157" t="inlineStr">
        <is>
          <t>—</t>
        </is>
      </c>
      <c r="J21" s="157" t="inlineStr"/>
    </row>
    <row r="22" ht="16" customHeight="1" s="23">
      <c r="A22" s="156" t="inlineStr">
        <is>
          <t>Humango</t>
        </is>
      </c>
      <c r="B22" s="157" t="n">
        <v>0.09</v>
      </c>
      <c r="C22" s="157" t="n">
        <v>0.19</v>
      </c>
      <c r="D22" s="157" t="n">
        <v>0.32</v>
      </c>
      <c r="E22" s="157" t="inlineStr">
        <is>
          <t>+71.8%</t>
        </is>
      </c>
      <c r="F22" s="157" t="inlineStr">
        <is>
          <t>—</t>
        </is>
      </c>
      <c r="G22" s="157" t="inlineStr">
        <is>
          <t>—</t>
        </is>
      </c>
      <c r="H22" s="157" t="inlineStr">
        <is>
          <t>—</t>
        </is>
      </c>
      <c r="I22" s="157" t="inlineStr">
        <is>
          <t>—</t>
        </is>
      </c>
      <c r="J22" s="157" t="inlineStr"/>
    </row>
    <row r="23" ht="16" customHeight="1" s="23">
      <c r="A23" s="156" t="inlineStr">
        <is>
          <t>Playbook</t>
        </is>
      </c>
      <c r="B23" s="157" t="n">
        <v>1.55</v>
      </c>
      <c r="C23" s="157" t="n">
        <v>3.11</v>
      </c>
      <c r="D23" s="157" t="n">
        <v>1.33</v>
      </c>
      <c r="E23" s="157" t="inlineStr">
        <is>
          <t>-57.2%</t>
        </is>
      </c>
      <c r="F23" s="157" t="inlineStr">
        <is>
          <t>—</t>
        </is>
      </c>
      <c r="G23" s="157" t="inlineStr">
        <is>
          <t>—</t>
        </is>
      </c>
      <c r="H23" s="157" t="inlineStr">
        <is>
          <t>—</t>
        </is>
      </c>
      <c r="I23" s="157" t="inlineStr">
        <is>
          <t>—</t>
        </is>
      </c>
      <c r="J23" s="157" t="inlineStr"/>
    </row>
    <row r="24" ht="16" customHeight="1" s="23">
      <c r="A24" s="156" t="inlineStr">
        <is>
          <t>LADDER Strength Training Plans</t>
        </is>
      </c>
      <c r="B24" s="157" t="n">
        <v>12.07</v>
      </c>
      <c r="C24" s="157" t="n">
        <v>55.03</v>
      </c>
      <c r="D24" s="157" t="n">
        <v>47.74</v>
      </c>
      <c r="E24" s="157" t="inlineStr">
        <is>
          <t>-13.2%</t>
        </is>
      </c>
      <c r="F24" s="157" t="inlineStr">
        <is>
          <t>—</t>
        </is>
      </c>
      <c r="G24" s="157" t="inlineStr">
        <is>
          <t>—</t>
        </is>
      </c>
      <c r="H24" s="157" t="inlineStr">
        <is>
          <t>—</t>
        </is>
      </c>
      <c r="I24" s="157" t="inlineStr">
        <is>
          <t>—</t>
        </is>
      </c>
      <c r="J24" s="157" t="inlineStr"/>
    </row>
    <row r="25" ht="16" customHeight="1" s="23">
      <c r="A25" s="156" t="inlineStr">
        <is>
          <t>Peloton</t>
        </is>
      </c>
      <c r="B25" s="157" t="n">
        <v>52.5</v>
      </c>
      <c r="C25" s="157" t="n">
        <v>107.05</v>
      </c>
      <c r="D25" s="157" t="n">
        <v>47.87</v>
      </c>
      <c r="E25" s="157" t="inlineStr">
        <is>
          <t>-55.3%</t>
        </is>
      </c>
      <c r="F25" s="157" t="inlineStr">
        <is>
          <t>—</t>
        </is>
      </c>
      <c r="G25" s="157" t="inlineStr">
        <is>
          <t>—</t>
        </is>
      </c>
      <c r="H25" s="157" t="inlineStr">
        <is>
          <t>—</t>
        </is>
      </c>
      <c r="I25" s="157" t="inlineStr">
        <is>
          <t>—</t>
        </is>
      </c>
      <c r="J25" s="157" t="inlineStr"/>
    </row>
    <row r="26" ht="16" customHeight="1" s="23">
      <c r="A26" s="156" t="inlineStr">
        <is>
          <t>Stryd</t>
        </is>
      </c>
      <c r="B26" s="157" t="n">
        <v>0.38</v>
      </c>
      <c r="C26" s="157" t="n">
        <v>0.37</v>
      </c>
      <c r="D26" s="157" t="n">
        <v>0.29</v>
      </c>
      <c r="E26" s="157" t="inlineStr">
        <is>
          <t>-22.0%</t>
        </is>
      </c>
      <c r="F26" s="157" t="inlineStr">
        <is>
          <t>—</t>
        </is>
      </c>
      <c r="G26" s="157" t="inlineStr">
        <is>
          <t>—</t>
        </is>
      </c>
      <c r="H26" s="157" t="inlineStr">
        <is>
          <t>—</t>
        </is>
      </c>
      <c r="I26" s="157" t="inlineStr">
        <is>
          <t>—</t>
        </is>
      </c>
      <c r="J26" s="157" t="inlineStr"/>
    </row>
    <row r="27" ht="16" customHeight="1" s="23">
      <c r="A27" s="156" t="inlineStr">
        <is>
          <t>Recover Athletics</t>
        </is>
      </c>
      <c r="B27" s="157" t="n">
        <v>0.27</v>
      </c>
      <c r="C27" s="157" t="n">
        <v>0.17</v>
      </c>
      <c r="D27" s="157" t="n">
        <v>0.12</v>
      </c>
      <c r="E27" s="157" t="inlineStr">
        <is>
          <t>-27.1%</t>
        </is>
      </c>
      <c r="F27" s="157" t="inlineStr">
        <is>
          <t>—</t>
        </is>
      </c>
      <c r="G27" s="157" t="inlineStr">
        <is>
          <t>—</t>
        </is>
      </c>
      <c r="H27" s="157" t="inlineStr">
        <is>
          <t>—</t>
        </is>
      </c>
      <c r="I27" s="157" t="inlineStr">
        <is>
          <t>—</t>
        </is>
      </c>
      <c r="J27" s="157" t="inlineStr"/>
    </row>
    <row r="28" ht="16" customHeight="1" s="23">
      <c r="A28" s="156" t="inlineStr">
        <is>
          <t>Final Surge</t>
        </is>
      </c>
      <c r="B28" s="157" t="inlineStr">
        <is>
          <t>—</t>
        </is>
      </c>
      <c r="C28" s="157" t="n">
        <v>0.01</v>
      </c>
      <c r="D28" s="157" t="n">
        <v>0.01</v>
      </c>
      <c r="E28" s="157" t="inlineStr">
        <is>
          <t>+67.3%</t>
        </is>
      </c>
      <c r="F28" s="157" t="inlineStr">
        <is>
          <t>—</t>
        </is>
      </c>
      <c r="G28" s="157" t="inlineStr">
        <is>
          <t>—</t>
        </is>
      </c>
      <c r="H28" s="157" t="inlineStr">
        <is>
          <t>—</t>
        </is>
      </c>
      <c r="I28" s="157" t="inlineStr">
        <is>
          <t>—</t>
        </is>
      </c>
      <c r="J28" s="157" t="inlineStr"/>
    </row>
    <row r="29" ht="16" customHeight="1" s="23">
      <c r="A29" s="156" t="inlineStr">
        <is>
          <t>Fitplan®</t>
        </is>
      </c>
      <c r="B29" s="157" t="n">
        <v>0.65</v>
      </c>
      <c r="C29" s="157" t="n">
        <v>0.88</v>
      </c>
      <c r="D29" s="157" t="n">
        <v>0.2</v>
      </c>
      <c r="E29" s="157" t="inlineStr">
        <is>
          <t>-77.2%</t>
        </is>
      </c>
      <c r="F29" s="157" t="inlineStr">
        <is>
          <t>—</t>
        </is>
      </c>
      <c r="G29" s="157" t="inlineStr">
        <is>
          <t>—</t>
        </is>
      </c>
      <c r="H29" s="157" t="inlineStr">
        <is>
          <t>—</t>
        </is>
      </c>
      <c r="I29" s="157" t="inlineStr">
        <is>
          <t>—</t>
        </is>
      </c>
      <c r="J29" s="157" t="inlineStr"/>
    </row>
    <row r="30" ht="16" customHeight="1" s="23">
      <c r="A30" s="156" t="inlineStr">
        <is>
          <t>Physitrack</t>
        </is>
      </c>
      <c r="B30" s="157" t="n">
        <v>0.01</v>
      </c>
      <c r="C30" s="157" t="n">
        <v>0.02</v>
      </c>
      <c r="D30" s="157" t="n">
        <v>0.02</v>
      </c>
      <c r="E30" s="157" t="inlineStr">
        <is>
          <t>+27.4%</t>
        </is>
      </c>
      <c r="F30" s="157" t="inlineStr">
        <is>
          <t>—</t>
        </is>
      </c>
      <c r="G30" s="157" t="inlineStr">
        <is>
          <t>—</t>
        </is>
      </c>
      <c r="H30" s="157" t="inlineStr">
        <is>
          <t>—</t>
        </is>
      </c>
      <c r="I30" s="157" t="inlineStr">
        <is>
          <t>—</t>
        </is>
      </c>
      <c r="J30" s="157" t="inlineStr"/>
    </row>
    <row r="31" ht="18" customHeight="1" s="23">
      <c r="A31" s="158" t="inlineStr">
        <is>
          <t>КЛАСТЕР TOTAL</t>
        </is>
      </c>
      <c r="B31" s="159" t="n">
        <v>86.98</v>
      </c>
      <c r="C31" s="159" t="n">
        <v>211.78</v>
      </c>
      <c r="D31" s="159" t="n">
        <v>165.84</v>
      </c>
      <c r="E31" s="159" t="inlineStr">
        <is>
          <t>-21.7%</t>
        </is>
      </c>
      <c r="F31" s="159" t="inlineStr">
        <is>
          <t>—</t>
        </is>
      </c>
      <c r="G31" s="159" t="inlineStr">
        <is>
          <t>—</t>
        </is>
      </c>
      <c r="H31" s="159" t="inlineStr">
        <is>
          <t>—</t>
        </is>
      </c>
      <c r="I31" s="159" t="inlineStr">
        <is>
          <t>—</t>
        </is>
      </c>
      <c r="J31" s="159" t="inlineStr"/>
    </row>
    <row r="33" ht="20" customHeight="1" s="23">
      <c r="A33" s="154" t="inlineStr">
        <is>
          <t>🟢 Nutrition / Calorie Counter</t>
        </is>
      </c>
    </row>
    <row r="34" ht="18" customHeight="1" s="23">
      <c r="A34" s="155" t="inlineStr">
        <is>
          <t>App</t>
        </is>
      </c>
      <c r="B34" s="155" t="inlineStr">
        <is>
          <t>Rev 2023-24</t>
        </is>
      </c>
      <c r="C34" s="155" t="inlineStr">
        <is>
          <t>Rev 2024-25</t>
        </is>
      </c>
      <c r="D34" s="155" t="inlineStr">
        <is>
          <t>Rev 2025-26</t>
        </is>
      </c>
      <c r="E34" s="155" t="inlineStr">
        <is>
          <t>YoY Rev</t>
        </is>
      </c>
      <c r="F34" s="155" t="inlineStr">
        <is>
          <t>DL 2023-24</t>
        </is>
      </c>
      <c r="G34" s="155" t="inlineStr">
        <is>
          <t>DL 2024-25</t>
        </is>
      </c>
      <c r="H34" s="155" t="inlineStr">
        <is>
          <t>DL 2025-26</t>
        </is>
      </c>
      <c r="I34" s="155" t="inlineStr">
        <is>
          <t>YoY DL</t>
        </is>
      </c>
      <c r="J34" s="155" t="inlineStr">
        <is>
          <t>Signal</t>
        </is>
      </c>
    </row>
    <row r="35" ht="16" customHeight="1" s="23">
      <c r="A35" s="156" t="inlineStr">
        <is>
          <t>MyFitnessPal</t>
        </is>
      </c>
      <c r="B35" s="157" t="n">
        <v>185.49</v>
      </c>
      <c r="C35" s="157" t="n">
        <v>389.61</v>
      </c>
      <c r="D35" s="157" t="n">
        <v>381.82</v>
      </c>
      <c r="E35" s="157" t="inlineStr">
        <is>
          <t>-2.0%</t>
        </is>
      </c>
      <c r="F35" s="157" t="inlineStr">
        <is>
          <t>—</t>
        </is>
      </c>
      <c r="G35" s="157" t="inlineStr">
        <is>
          <t>—</t>
        </is>
      </c>
      <c r="H35" s="157" t="inlineStr">
        <is>
          <t>—</t>
        </is>
      </c>
      <c r="I35" s="157" t="inlineStr">
        <is>
          <t>—</t>
        </is>
      </c>
      <c r="J35" s="157" t="inlineStr"/>
    </row>
    <row r="36" ht="16" customHeight="1" s="23">
      <c r="A36" s="156" t="inlineStr">
        <is>
          <t>AI Calorie Tracker by Yazio</t>
        </is>
      </c>
      <c r="B36" s="157" t="n">
        <v>32.68</v>
      </c>
      <c r="C36" s="157" t="n">
        <v>98.37</v>
      </c>
      <c r="D36" s="157" t="n">
        <v>130.86</v>
      </c>
      <c r="E36" s="157" t="inlineStr">
        <is>
          <t>+33.0%</t>
        </is>
      </c>
      <c r="F36" s="157" t="inlineStr">
        <is>
          <t>—</t>
        </is>
      </c>
      <c r="G36" s="157" t="inlineStr">
        <is>
          <t>—</t>
        </is>
      </c>
      <c r="H36" s="157" t="inlineStr">
        <is>
          <t>—</t>
        </is>
      </c>
      <c r="I36" s="157" t="inlineStr">
        <is>
          <t>—</t>
        </is>
      </c>
      <c r="J36" s="157" t="inlineStr"/>
    </row>
    <row r="37" ht="16" customHeight="1" s="23">
      <c r="A37" s="156" t="inlineStr">
        <is>
          <t>Cal AI</t>
        </is>
      </c>
      <c r="B37" s="157" t="n">
        <v>0</v>
      </c>
      <c r="C37" s="157" t="n">
        <v>21.16</v>
      </c>
      <c r="D37" s="157" t="n">
        <v>57.45</v>
      </c>
      <c r="E37" s="157" t="inlineStr">
        <is>
          <t>+171.5%</t>
        </is>
      </c>
      <c r="F37" s="157" t="inlineStr">
        <is>
          <t>—</t>
        </is>
      </c>
      <c r="G37" s="157" t="inlineStr">
        <is>
          <t>—</t>
        </is>
      </c>
      <c r="H37" s="157" t="inlineStr">
        <is>
          <t>—</t>
        </is>
      </c>
      <c r="I37" s="157" t="inlineStr">
        <is>
          <t>—</t>
        </is>
      </c>
      <c r="J37" s="157" t="inlineStr"/>
    </row>
    <row r="38" ht="16" customHeight="1" s="23">
      <c r="A38" s="156" t="inlineStr">
        <is>
          <t>Lose It!</t>
        </is>
      </c>
      <c r="B38" s="157" t="n">
        <v>33.57</v>
      </c>
      <c r="C38" s="157" t="n">
        <v>73.39</v>
      </c>
      <c r="D38" s="157" t="n">
        <v>56.33</v>
      </c>
      <c r="E38" s="157" t="inlineStr">
        <is>
          <t>-23.3%</t>
        </is>
      </c>
      <c r="F38" s="157" t="inlineStr">
        <is>
          <t>—</t>
        </is>
      </c>
      <c r="G38" s="157" t="inlineStr">
        <is>
          <t>—</t>
        </is>
      </c>
      <c r="H38" s="157" t="inlineStr">
        <is>
          <t>—</t>
        </is>
      </c>
      <c r="I38" s="157" t="inlineStr">
        <is>
          <t>—</t>
        </is>
      </c>
      <c r="J38" s="157" t="inlineStr"/>
    </row>
    <row r="39" ht="16" customHeight="1" s="23">
      <c r="A39" s="156" t="inlineStr">
        <is>
          <t>Foodvisor</t>
        </is>
      </c>
      <c r="B39" s="157" t="n">
        <v>2.95</v>
      </c>
      <c r="C39" s="157" t="n">
        <v>26.83</v>
      </c>
      <c r="D39" s="157" t="n">
        <v>40.48</v>
      </c>
      <c r="E39" s="157" t="inlineStr">
        <is>
          <t>+50.9%</t>
        </is>
      </c>
      <c r="F39" s="157" t="inlineStr">
        <is>
          <t>—</t>
        </is>
      </c>
      <c r="G39" s="157" t="inlineStr">
        <is>
          <t>—</t>
        </is>
      </c>
      <c r="H39" s="157" t="inlineStr">
        <is>
          <t>—</t>
        </is>
      </c>
      <c r="I39" s="157" t="inlineStr">
        <is>
          <t>—</t>
        </is>
      </c>
      <c r="J39" s="157" t="inlineStr"/>
    </row>
    <row r="40" ht="16" customHeight="1" s="23">
      <c r="A40" s="156" t="inlineStr">
        <is>
          <t>Calorie Counter +</t>
        </is>
      </c>
      <c r="B40" s="157" t="n">
        <v>14.53</v>
      </c>
      <c r="C40" s="157" t="n">
        <v>35.3</v>
      </c>
      <c r="D40" s="157" t="n">
        <v>36.31</v>
      </c>
      <c r="E40" s="157" t="inlineStr">
        <is>
          <t>+2.8%</t>
        </is>
      </c>
      <c r="F40" s="157" t="inlineStr">
        <is>
          <t>—</t>
        </is>
      </c>
      <c r="G40" s="157" t="inlineStr">
        <is>
          <t>—</t>
        </is>
      </c>
      <c r="H40" s="157" t="inlineStr">
        <is>
          <t>—</t>
        </is>
      </c>
      <c r="I40" s="157" t="inlineStr">
        <is>
          <t>—</t>
        </is>
      </c>
      <c r="J40" s="157" t="inlineStr"/>
    </row>
    <row r="41" ht="16" customHeight="1" s="23">
      <c r="A41" s="156" t="inlineStr">
        <is>
          <t>Calorie Counter</t>
        </is>
      </c>
      <c r="B41" s="157" t="n">
        <v>7.03</v>
      </c>
      <c r="C41" s="157" t="n">
        <v>19.09</v>
      </c>
      <c r="D41" s="157" t="n">
        <v>31.38</v>
      </c>
      <c r="E41" s="157" t="inlineStr">
        <is>
          <t>+64.4%</t>
        </is>
      </c>
      <c r="F41" s="157" t="inlineStr">
        <is>
          <t>—</t>
        </is>
      </c>
      <c r="G41" s="157" t="inlineStr">
        <is>
          <t>—</t>
        </is>
      </c>
      <c r="H41" s="157" t="inlineStr">
        <is>
          <t>—</t>
        </is>
      </c>
      <c r="I41" s="157" t="inlineStr">
        <is>
          <t>—</t>
        </is>
      </c>
      <c r="J41" s="157" t="inlineStr"/>
    </row>
    <row r="42" ht="16" customHeight="1" s="23">
      <c r="A42" s="156" t="inlineStr">
        <is>
          <t>BitePal</t>
        </is>
      </c>
      <c r="B42" s="157" t="inlineStr">
        <is>
          <t>—</t>
        </is>
      </c>
      <c r="C42" s="157" t="n">
        <v>2.4</v>
      </c>
      <c r="D42" s="157" t="n">
        <v>23.89</v>
      </c>
      <c r="E42" s="157" t="inlineStr">
        <is>
          <t>+896.6%</t>
        </is>
      </c>
      <c r="F42" s="157" t="inlineStr">
        <is>
          <t>—</t>
        </is>
      </c>
      <c r="G42" s="157" t="inlineStr">
        <is>
          <t>—</t>
        </is>
      </c>
      <c r="H42" s="157" t="inlineStr">
        <is>
          <t>—</t>
        </is>
      </c>
      <c r="I42" s="157" t="inlineStr">
        <is>
          <t>—</t>
        </is>
      </c>
      <c r="J42" s="157" t="inlineStr"/>
    </row>
    <row r="43" ht="16" customHeight="1" s="23">
      <c r="A43" s="156" t="inlineStr">
        <is>
          <t>Noom Weight Loss, Food Tracker</t>
        </is>
      </c>
      <c r="B43" s="157" t="n">
        <v>19.38</v>
      </c>
      <c r="C43" s="157" t="n">
        <v>25.3</v>
      </c>
      <c r="D43" s="157" t="n">
        <v>22.17</v>
      </c>
      <c r="E43" s="157" t="inlineStr">
        <is>
          <t>-12.4%</t>
        </is>
      </c>
      <c r="F43" s="157" t="inlineStr">
        <is>
          <t>—</t>
        </is>
      </c>
      <c r="G43" s="157" t="inlineStr">
        <is>
          <t>—</t>
        </is>
      </c>
      <c r="H43" s="157" t="inlineStr">
        <is>
          <t>—</t>
        </is>
      </c>
      <c r="I43" s="157" t="inlineStr">
        <is>
          <t>—</t>
        </is>
      </c>
      <c r="J43" s="157" t="inlineStr"/>
    </row>
    <row r="44" ht="16" customHeight="1" s="23">
      <c r="A44" s="156" t="inlineStr">
        <is>
          <t>Cronometer</t>
        </is>
      </c>
      <c r="B44" s="157" t="n">
        <v>3.91</v>
      </c>
      <c r="C44" s="157" t="n">
        <v>13.59</v>
      </c>
      <c r="D44" s="157" t="n">
        <v>21.82</v>
      </c>
      <c r="E44" s="157" t="inlineStr">
        <is>
          <t>+60.6%</t>
        </is>
      </c>
      <c r="F44" s="157" t="inlineStr">
        <is>
          <t>—</t>
        </is>
      </c>
      <c r="G44" s="157" t="inlineStr">
        <is>
          <t>—</t>
        </is>
      </c>
      <c r="H44" s="157" t="inlineStr">
        <is>
          <t>—</t>
        </is>
      </c>
      <c r="I44" s="157" t="inlineStr">
        <is>
          <t>—</t>
        </is>
      </c>
      <c r="J44" s="157" t="inlineStr"/>
    </row>
    <row r="45" ht="16" customHeight="1" s="23">
      <c r="A45" s="156" t="inlineStr">
        <is>
          <t>Calorie Counter &amp; Food Tracker</t>
        </is>
      </c>
      <c r="B45" s="157" t="n">
        <v>0.01</v>
      </c>
      <c r="C45" s="157" t="n">
        <v>3.12</v>
      </c>
      <c r="D45" s="157" t="n">
        <v>12.16</v>
      </c>
      <c r="E45" s="157" t="inlineStr">
        <is>
          <t>+289.5%</t>
        </is>
      </c>
      <c r="F45" s="157" t="inlineStr">
        <is>
          <t>—</t>
        </is>
      </c>
      <c r="G45" s="157" t="inlineStr">
        <is>
          <t>—</t>
        </is>
      </c>
      <c r="H45" s="157" t="inlineStr">
        <is>
          <t>—</t>
        </is>
      </c>
      <c r="I45" s="157" t="inlineStr">
        <is>
          <t>—</t>
        </is>
      </c>
      <c r="J45" s="157" t="inlineStr"/>
    </row>
    <row r="46" ht="16" customHeight="1" s="23">
      <c r="A46" s="156" t="inlineStr">
        <is>
          <t>Calo</t>
        </is>
      </c>
      <c r="B46" s="157" t="n">
        <v>0</v>
      </c>
      <c r="C46" s="157" t="n">
        <v>0.32</v>
      </c>
      <c r="D46" s="157" t="n">
        <v>9.380000000000001</v>
      </c>
      <c r="E46" s="157" t="inlineStr">
        <is>
          <t>+2850.2%</t>
        </is>
      </c>
      <c r="F46" s="157" t="inlineStr">
        <is>
          <t>—</t>
        </is>
      </c>
      <c r="G46" s="157" t="inlineStr">
        <is>
          <t>—</t>
        </is>
      </c>
      <c r="H46" s="157" t="inlineStr">
        <is>
          <t>—</t>
        </is>
      </c>
      <c r="I46" s="157" t="inlineStr">
        <is>
          <t>—</t>
        </is>
      </c>
      <c r="J46" s="157" t="inlineStr"/>
    </row>
    <row r="47" ht="16" customHeight="1" s="23">
      <c r="A47" s="156" t="inlineStr">
        <is>
          <t>Fitia</t>
        </is>
      </c>
      <c r="B47" s="157" t="n">
        <v>1.58</v>
      </c>
      <c r="C47" s="157" t="n">
        <v>5.53</v>
      </c>
      <c r="D47" s="157" t="n">
        <v>9.19</v>
      </c>
      <c r="E47" s="157" t="inlineStr">
        <is>
          <t>+66.2%</t>
        </is>
      </c>
      <c r="F47" s="157" t="inlineStr">
        <is>
          <t>—</t>
        </is>
      </c>
      <c r="G47" s="157" t="inlineStr">
        <is>
          <t>—</t>
        </is>
      </c>
      <c r="H47" s="157" t="inlineStr">
        <is>
          <t>—</t>
        </is>
      </c>
      <c r="I47" s="157" t="inlineStr">
        <is>
          <t>—</t>
        </is>
      </c>
      <c r="J47" s="157" t="inlineStr"/>
    </row>
    <row r="48" ht="18" customHeight="1" s="23">
      <c r="A48" s="158" t="inlineStr">
        <is>
          <t>КЛАСТЕР TOTAL</t>
        </is>
      </c>
      <c r="B48" s="159" t="n">
        <v>301.13</v>
      </c>
      <c r="C48" s="159" t="n">
        <v>714</v>
      </c>
      <c r="D48" s="159" t="n">
        <v>833.23</v>
      </c>
      <c r="E48" s="159" t="inlineStr">
        <is>
          <t>+16.7%</t>
        </is>
      </c>
      <c r="F48" s="159" t="inlineStr">
        <is>
          <t>—</t>
        </is>
      </c>
      <c r="G48" s="159" t="inlineStr">
        <is>
          <t>—</t>
        </is>
      </c>
      <c r="H48" s="159" t="inlineStr">
        <is>
          <t>—</t>
        </is>
      </c>
      <c r="I48" s="159" t="inlineStr">
        <is>
          <t>—</t>
        </is>
      </c>
      <c r="J48" s="159" t="inlineStr"/>
    </row>
    <row r="50" ht="20" customHeight="1" s="23">
      <c r="A50" s="154" t="inlineStr">
        <is>
          <t>🟡 Events / Travel Discovery</t>
        </is>
      </c>
    </row>
    <row r="51" ht="18" customHeight="1" s="23">
      <c r="A51" s="155" t="inlineStr">
        <is>
          <t>App</t>
        </is>
      </c>
      <c r="B51" s="155" t="inlineStr">
        <is>
          <t>Rev 2023-24</t>
        </is>
      </c>
      <c r="C51" s="155" t="inlineStr">
        <is>
          <t>Rev 2024-25</t>
        </is>
      </c>
      <c r="D51" s="155" t="inlineStr">
        <is>
          <t>Rev 2025-26</t>
        </is>
      </c>
      <c r="E51" s="155" t="inlineStr">
        <is>
          <t>YoY Rev</t>
        </is>
      </c>
      <c r="F51" s="155" t="inlineStr">
        <is>
          <t>DL 2023-24</t>
        </is>
      </c>
      <c r="G51" s="155" t="inlineStr">
        <is>
          <t>DL 2024-25</t>
        </is>
      </c>
      <c r="H51" s="155" t="inlineStr">
        <is>
          <t>DL 2025-26</t>
        </is>
      </c>
      <c r="I51" s="155" t="inlineStr">
        <is>
          <t>YoY DL</t>
        </is>
      </c>
      <c r="J51" s="155" t="inlineStr">
        <is>
          <t>Signal</t>
        </is>
      </c>
    </row>
    <row r="52" ht="16" customHeight="1" s="23">
      <c r="A52" s="156" t="inlineStr">
        <is>
          <t>GetYourGuide</t>
        </is>
      </c>
      <c r="B52" s="157" t="inlineStr">
        <is>
          <t>—</t>
        </is>
      </c>
      <c r="C52" s="157" t="inlineStr">
        <is>
          <t>—</t>
        </is>
      </c>
      <c r="D52" s="157" t="inlineStr">
        <is>
          <t>—</t>
        </is>
      </c>
      <c r="E52" s="157" t="inlineStr">
        <is>
          <t>—</t>
        </is>
      </c>
      <c r="F52" s="157" t="n">
        <v>13.28</v>
      </c>
      <c r="G52" s="157" t="n">
        <v>31.83</v>
      </c>
      <c r="H52" s="157" t="n">
        <v>17.52</v>
      </c>
      <c r="I52" s="157" t="inlineStr">
        <is>
          <t>-45.0%</t>
        </is>
      </c>
      <c r="J52" s="157" t="inlineStr"/>
    </row>
    <row r="53" ht="16" customHeight="1" s="23">
      <c r="A53" s="156" t="inlineStr">
        <is>
          <t>Fever</t>
        </is>
      </c>
      <c r="B53" s="157" t="inlineStr">
        <is>
          <t>—</t>
        </is>
      </c>
      <c r="C53" s="157" t="inlineStr">
        <is>
          <t>—</t>
        </is>
      </c>
      <c r="D53" s="157" t="inlineStr">
        <is>
          <t>—</t>
        </is>
      </c>
      <c r="E53" s="157" t="inlineStr">
        <is>
          <t>—</t>
        </is>
      </c>
      <c r="F53" s="157" t="n">
        <v>6.78</v>
      </c>
      <c r="G53" s="157" t="n">
        <v>17.13</v>
      </c>
      <c r="H53" s="157" t="n">
        <v>11.4</v>
      </c>
      <c r="I53" s="157" t="inlineStr">
        <is>
          <t>-33.4%</t>
        </is>
      </c>
      <c r="J53" s="157" t="inlineStr"/>
    </row>
    <row r="54" ht="16" customHeight="1" s="23">
      <c r="A54" s="156" t="inlineStr">
        <is>
          <t>Eventbrite</t>
        </is>
      </c>
      <c r="B54" s="157" t="inlineStr">
        <is>
          <t>—</t>
        </is>
      </c>
      <c r="C54" s="157" t="inlineStr">
        <is>
          <t>—</t>
        </is>
      </c>
      <c r="D54" s="157" t="inlineStr">
        <is>
          <t>—</t>
        </is>
      </c>
      <c r="E54" s="157" t="inlineStr">
        <is>
          <t>—</t>
        </is>
      </c>
      <c r="F54" s="157" t="n">
        <v>12.43</v>
      </c>
      <c r="G54" s="157" t="n">
        <v>28.87</v>
      </c>
      <c r="H54" s="157" t="n">
        <v>9.279999999999999</v>
      </c>
      <c r="I54" s="157" t="inlineStr">
        <is>
          <t>-67.9%</t>
        </is>
      </c>
      <c r="J54" s="157" t="inlineStr"/>
    </row>
    <row r="55" ht="16" customHeight="1" s="23">
      <c r="A55" s="156" t="inlineStr">
        <is>
          <t>Meetup</t>
        </is>
      </c>
      <c r="B55" s="157" t="inlineStr">
        <is>
          <t>—</t>
        </is>
      </c>
      <c r="C55" s="157" t="inlineStr">
        <is>
          <t>—</t>
        </is>
      </c>
      <c r="D55" s="157" t="inlineStr">
        <is>
          <t>—</t>
        </is>
      </c>
      <c r="E55" s="157" t="inlineStr">
        <is>
          <t>—</t>
        </is>
      </c>
      <c r="F55" s="157" t="n">
        <v>4.17</v>
      </c>
      <c r="G55" s="157" t="n">
        <v>7.68</v>
      </c>
      <c r="H55" s="157" t="n">
        <v>4.89</v>
      </c>
      <c r="I55" s="157" t="inlineStr">
        <is>
          <t>-36.4%</t>
        </is>
      </c>
      <c r="J55" s="157" t="inlineStr"/>
    </row>
    <row r="56" ht="16" customHeight="1" s="23">
      <c r="A56" s="156" t="inlineStr">
        <is>
          <t>Viator Tours &amp; Attractions</t>
        </is>
      </c>
      <c r="B56" s="157" t="inlineStr">
        <is>
          <t>—</t>
        </is>
      </c>
      <c r="C56" s="157" t="inlineStr">
        <is>
          <t>—</t>
        </is>
      </c>
      <c r="D56" s="157" t="inlineStr">
        <is>
          <t>—</t>
        </is>
      </c>
      <c r="E56" s="157" t="inlineStr">
        <is>
          <t>—</t>
        </is>
      </c>
      <c r="F56" s="157" t="n">
        <v>3.35</v>
      </c>
      <c r="G56" s="157" t="n">
        <v>8.390000000000001</v>
      </c>
      <c r="H56" s="157" t="n">
        <v>3.61</v>
      </c>
      <c r="I56" s="157" t="inlineStr">
        <is>
          <t>-57.0%</t>
        </is>
      </c>
      <c r="J56" s="157" t="inlineStr"/>
    </row>
    <row r="57" ht="16" customHeight="1" s="23">
      <c r="A57" s="156" t="inlineStr">
        <is>
          <t>ClassPass</t>
        </is>
      </c>
      <c r="B57" s="157" t="inlineStr">
        <is>
          <t>—</t>
        </is>
      </c>
      <c r="C57" s="157" t="inlineStr">
        <is>
          <t>—</t>
        </is>
      </c>
      <c r="D57" s="157" t="inlineStr">
        <is>
          <t>—</t>
        </is>
      </c>
      <c r="E57" s="157" t="inlineStr">
        <is>
          <t>—</t>
        </is>
      </c>
      <c r="F57" s="157" t="n">
        <v>2.54</v>
      </c>
      <c r="G57" s="157" t="n">
        <v>7.11</v>
      </c>
      <c r="H57" s="157" t="n">
        <v>4.04</v>
      </c>
      <c r="I57" s="157" t="inlineStr">
        <is>
          <t>-43.1%</t>
        </is>
      </c>
      <c r="J57" s="157" t="inlineStr"/>
    </row>
    <row r="58" ht="16" customHeight="1" s="23">
      <c r="A58" s="156" t="inlineStr">
        <is>
          <t>Timeleft</t>
        </is>
      </c>
      <c r="B58" s="157" t="inlineStr">
        <is>
          <t>—</t>
        </is>
      </c>
      <c r="C58" s="157" t="inlineStr">
        <is>
          <t>—</t>
        </is>
      </c>
      <c r="D58" s="157" t="inlineStr">
        <is>
          <t>—</t>
        </is>
      </c>
      <c r="E58" s="157" t="inlineStr">
        <is>
          <t>—</t>
        </is>
      </c>
      <c r="F58" s="157" t="n">
        <v>0.26</v>
      </c>
      <c r="G58" s="157" t="n">
        <v>5.82</v>
      </c>
      <c r="H58" s="157" t="n">
        <v>2.74</v>
      </c>
      <c r="I58" s="157" t="inlineStr">
        <is>
          <t>-53.0%</t>
        </is>
      </c>
      <c r="J58" s="157" t="inlineStr"/>
    </row>
    <row r="59" ht="18" customHeight="1" s="23">
      <c r="A59" s="160" t="inlineStr">
        <is>
          <t>КЛАСТЕР TOTAL</t>
        </is>
      </c>
      <c r="B59" s="161" t="inlineStr">
        <is>
          <t>—</t>
        </is>
      </c>
      <c r="C59" s="161" t="inlineStr">
        <is>
          <t>—</t>
        </is>
      </c>
      <c r="D59" s="161" t="inlineStr">
        <is>
          <t>—</t>
        </is>
      </c>
      <c r="E59" s="161" t="inlineStr">
        <is>
          <t>—</t>
        </is>
      </c>
      <c r="F59" s="161" t="n">
        <v>42.81</v>
      </c>
      <c r="G59" s="161" t="n">
        <v>106.83</v>
      </c>
      <c r="H59" s="161" t="n">
        <v>53.47</v>
      </c>
      <c r="I59" s="161" t="inlineStr">
        <is>
          <t>-49.9%</t>
        </is>
      </c>
      <c r="J59" s="161" t="inlineStr"/>
    </row>
    <row r="61" ht="20" customHeight="1" s="23">
      <c r="A61" s="154" t="inlineStr">
        <is>
          <t>🟢 Social Sports / Courts</t>
        </is>
      </c>
    </row>
    <row r="62" ht="18" customHeight="1" s="23">
      <c r="A62" s="155" t="inlineStr">
        <is>
          <t>App</t>
        </is>
      </c>
      <c r="B62" s="155" t="inlineStr">
        <is>
          <t>Rev 2023-24</t>
        </is>
      </c>
      <c r="C62" s="155" t="inlineStr">
        <is>
          <t>Rev 2024-25</t>
        </is>
      </c>
      <c r="D62" s="155" t="inlineStr">
        <is>
          <t>Rev 2025-26</t>
        </is>
      </c>
      <c r="E62" s="155" t="inlineStr">
        <is>
          <t>YoY Rev</t>
        </is>
      </c>
      <c r="F62" s="155" t="inlineStr">
        <is>
          <t>DL 2023-24</t>
        </is>
      </c>
      <c r="G62" s="155" t="inlineStr">
        <is>
          <t>DL 2024-25</t>
        </is>
      </c>
      <c r="H62" s="155" t="inlineStr">
        <is>
          <t>DL 2025-26</t>
        </is>
      </c>
      <c r="I62" s="155" t="inlineStr">
        <is>
          <t>YoY DL</t>
        </is>
      </c>
      <c r="J62" s="155" t="inlineStr">
        <is>
          <t>Signal</t>
        </is>
      </c>
    </row>
    <row r="63" ht="16" customHeight="1" s="23">
      <c r="A63" s="156" t="inlineStr">
        <is>
          <t>Playtomic</t>
        </is>
      </c>
      <c r="B63" s="157" t="inlineStr">
        <is>
          <t>—</t>
        </is>
      </c>
      <c r="C63" s="157" t="inlineStr">
        <is>
          <t>—</t>
        </is>
      </c>
      <c r="D63" s="157" t="inlineStr">
        <is>
          <t>—</t>
        </is>
      </c>
      <c r="E63" s="157" t="inlineStr">
        <is>
          <t>—</t>
        </is>
      </c>
      <c r="F63" s="157" t="n">
        <v>1.98</v>
      </c>
      <c r="G63" s="157" t="n">
        <v>2.69</v>
      </c>
      <c r="H63" s="157" t="n">
        <v>3.43</v>
      </c>
      <c r="I63" s="157" t="inlineStr">
        <is>
          <t>+27.5%</t>
        </is>
      </c>
      <c r="J63" s="157" t="inlineStr"/>
    </row>
    <row r="64" ht="16" customHeight="1" s="23">
      <c r="A64" s="156" t="inlineStr">
        <is>
          <t>CourtReserve</t>
        </is>
      </c>
      <c r="B64" s="157" t="inlineStr">
        <is>
          <t>—</t>
        </is>
      </c>
      <c r="C64" s="157" t="inlineStr">
        <is>
          <t>—</t>
        </is>
      </c>
      <c r="D64" s="157" t="inlineStr">
        <is>
          <t>—</t>
        </is>
      </c>
      <c r="E64" s="157" t="inlineStr">
        <is>
          <t>—</t>
        </is>
      </c>
      <c r="F64" s="157" t="n">
        <v>0.27</v>
      </c>
      <c r="G64" s="157" t="n">
        <v>0.42</v>
      </c>
      <c r="H64" s="157" t="n">
        <v>0.47</v>
      </c>
      <c r="I64" s="157" t="inlineStr">
        <is>
          <t>+11.3%</t>
        </is>
      </c>
      <c r="J64" s="157" t="inlineStr"/>
    </row>
    <row r="65" ht="16" customHeight="1" s="23">
      <c r="A65" s="156" t="inlineStr">
        <is>
          <t>MATCHi</t>
        </is>
      </c>
      <c r="B65" s="157" t="inlineStr">
        <is>
          <t>—</t>
        </is>
      </c>
      <c r="C65" s="157" t="inlineStr">
        <is>
          <t>—</t>
        </is>
      </c>
      <c r="D65" s="157" t="inlineStr">
        <is>
          <t>—</t>
        </is>
      </c>
      <c r="E65" s="157" t="inlineStr">
        <is>
          <t>—</t>
        </is>
      </c>
      <c r="F65" s="157" t="n">
        <v>0.23</v>
      </c>
      <c r="G65" s="157" t="n">
        <v>0.25</v>
      </c>
      <c r="H65" s="157" t="n">
        <v>0.26</v>
      </c>
      <c r="I65" s="157" t="inlineStr">
        <is>
          <t>+2.6%</t>
        </is>
      </c>
      <c r="J65" s="157" t="inlineStr"/>
    </row>
    <row r="66" ht="16" customHeight="1" s="23">
      <c r="A66" s="156" t="inlineStr">
        <is>
          <t>Pickleheads</t>
        </is>
      </c>
      <c r="B66" s="157" t="inlineStr">
        <is>
          <t>—</t>
        </is>
      </c>
      <c r="C66" s="157" t="inlineStr">
        <is>
          <t>—</t>
        </is>
      </c>
      <c r="D66" s="157" t="inlineStr">
        <is>
          <t>—</t>
        </is>
      </c>
      <c r="E66" s="157" t="inlineStr">
        <is>
          <t>—</t>
        </is>
      </c>
      <c r="F66" s="157" t="n">
        <v>0.07000000000000001</v>
      </c>
      <c r="G66" s="157" t="n">
        <v>0.2</v>
      </c>
      <c r="H66" s="157" t="n">
        <v>0.2</v>
      </c>
      <c r="I66" s="157" t="inlineStr">
        <is>
          <t>+1.2%</t>
        </is>
      </c>
      <c r="J66" s="157" t="inlineStr"/>
    </row>
    <row r="67" ht="16" customHeight="1" s="23">
      <c r="A67" s="156" t="inlineStr">
        <is>
          <t>PlayYourCourt</t>
        </is>
      </c>
      <c r="B67" s="157" t="inlineStr">
        <is>
          <t>—</t>
        </is>
      </c>
      <c r="C67" s="157" t="inlineStr">
        <is>
          <t>—</t>
        </is>
      </c>
      <c r="D67" s="157" t="inlineStr">
        <is>
          <t>—</t>
        </is>
      </c>
      <c r="E67" s="157" t="inlineStr">
        <is>
          <t>—</t>
        </is>
      </c>
      <c r="F67" s="157" t="n">
        <v>0.02</v>
      </c>
      <c r="G67" s="157" t="n">
        <v>0.02</v>
      </c>
      <c r="H67" s="157" t="n">
        <v>0.01</v>
      </c>
      <c r="I67" s="157" t="inlineStr">
        <is>
          <t>-69.2%</t>
        </is>
      </c>
      <c r="J67" s="157" t="inlineStr"/>
    </row>
    <row r="68" ht="16" customHeight="1" s="23">
      <c r="A68" s="156" t="inlineStr">
        <is>
          <t>OpenSports</t>
        </is>
      </c>
      <c r="B68" s="157" t="inlineStr">
        <is>
          <t>—</t>
        </is>
      </c>
      <c r="C68" s="157" t="inlineStr">
        <is>
          <t>—</t>
        </is>
      </c>
      <c r="D68" s="157" t="inlineStr">
        <is>
          <t>—</t>
        </is>
      </c>
      <c r="E68" s="157" t="inlineStr">
        <is>
          <t>—</t>
        </is>
      </c>
      <c r="F68" s="157" t="n">
        <v>0.03</v>
      </c>
      <c r="G68" s="157" t="n">
        <v>0.04</v>
      </c>
      <c r="H68" s="157" t="n">
        <v>0.06</v>
      </c>
      <c r="I68" s="157" t="inlineStr">
        <is>
          <t>+40.3%</t>
        </is>
      </c>
      <c r="J68" s="157" t="inlineStr"/>
    </row>
    <row r="69" ht="16" customHeight="1" s="23">
      <c r="A69" s="156" t="inlineStr">
        <is>
          <t>Padel Club</t>
        </is>
      </c>
      <c r="B69" s="157" t="inlineStr">
        <is>
          <t>—</t>
        </is>
      </c>
      <c r="C69" s="157" t="inlineStr">
        <is>
          <t>—</t>
        </is>
      </c>
      <c r="D69" s="157" t="inlineStr">
        <is>
          <t>—</t>
        </is>
      </c>
      <c r="E69" s="157" t="inlineStr">
        <is>
          <t>—</t>
        </is>
      </c>
      <c r="F69" s="157" t="inlineStr">
        <is>
          <t>—</t>
        </is>
      </c>
      <c r="G69" s="157" t="n">
        <v>0</v>
      </c>
      <c r="H69" s="157" t="n">
        <v>0</v>
      </c>
      <c r="I69" s="157" t="inlineStr">
        <is>
          <t>+311.9%</t>
        </is>
      </c>
      <c r="J69" s="157" t="inlineStr"/>
    </row>
    <row r="70" ht="16" customHeight="1" s="23">
      <c r="A70" s="156" t="inlineStr">
        <is>
          <t>Skedda</t>
        </is>
      </c>
      <c r="B70" s="157" t="inlineStr">
        <is>
          <t>—</t>
        </is>
      </c>
      <c r="C70" s="157" t="inlineStr">
        <is>
          <t>—</t>
        </is>
      </c>
      <c r="D70" s="157" t="inlineStr">
        <is>
          <t>—</t>
        </is>
      </c>
      <c r="E70" s="157" t="inlineStr">
        <is>
          <t>—</t>
        </is>
      </c>
      <c r="F70" s="157" t="n">
        <v>0.02</v>
      </c>
      <c r="G70" s="157" t="n">
        <v>0</v>
      </c>
      <c r="H70" s="157" t="n">
        <v>0</v>
      </c>
      <c r="I70" s="157" t="inlineStr">
        <is>
          <t>-5.9%</t>
        </is>
      </c>
      <c r="J70" s="157" t="inlineStr"/>
    </row>
    <row r="71" ht="18" customHeight="1" s="23">
      <c r="A71" s="158" t="inlineStr">
        <is>
          <t>КЛАСТЕР TOTAL</t>
        </is>
      </c>
      <c r="B71" s="159" t="inlineStr">
        <is>
          <t>—</t>
        </is>
      </c>
      <c r="C71" s="159" t="inlineStr">
        <is>
          <t>—</t>
        </is>
      </c>
      <c r="D71" s="159" t="inlineStr">
        <is>
          <t>—</t>
        </is>
      </c>
      <c r="E71" s="159" t="inlineStr">
        <is>
          <t>—</t>
        </is>
      </c>
      <c r="F71" s="159" t="n">
        <v>2.6</v>
      </c>
      <c r="G71" s="159" t="n">
        <v>3.63</v>
      </c>
      <c r="H71" s="159" t="n">
        <v>4.43</v>
      </c>
      <c r="I71" s="159" t="inlineStr">
        <is>
          <t>+22.2%</t>
        </is>
      </c>
      <c r="J71" s="159" t="inlineStr"/>
    </row>
    <row r="73" ht="20" customHeight="1" s="23">
      <c r="A73" s="154" t="inlineStr">
        <is>
          <t>🟡 Recovery / Longevity</t>
        </is>
      </c>
    </row>
    <row r="74" ht="18" customHeight="1" s="23">
      <c r="A74" s="155" t="inlineStr">
        <is>
          <t>App</t>
        </is>
      </c>
      <c r="B74" s="155" t="inlineStr">
        <is>
          <t>Rev 2023-24</t>
        </is>
      </c>
      <c r="C74" s="155" t="inlineStr">
        <is>
          <t>Rev 2024-25</t>
        </is>
      </c>
      <c r="D74" s="155" t="inlineStr">
        <is>
          <t>Rev 2025-26</t>
        </is>
      </c>
      <c r="E74" s="155" t="inlineStr">
        <is>
          <t>YoY Rev</t>
        </is>
      </c>
      <c r="F74" s="155" t="inlineStr">
        <is>
          <t>DL 2023-24</t>
        </is>
      </c>
      <c r="G74" s="155" t="inlineStr">
        <is>
          <t>DL 2024-25</t>
        </is>
      </c>
      <c r="H74" s="155" t="inlineStr">
        <is>
          <t>DL 2025-26</t>
        </is>
      </c>
      <c r="I74" s="155" t="inlineStr">
        <is>
          <t>YoY DL</t>
        </is>
      </c>
      <c r="J74" s="155" t="inlineStr">
        <is>
          <t>Signal</t>
        </is>
      </c>
    </row>
    <row r="75" ht="16" customHeight="1" s="23">
      <c r="A75" s="156" t="inlineStr">
        <is>
          <t>Oura</t>
        </is>
      </c>
      <c r="B75" s="157" t="inlineStr">
        <is>
          <t>—</t>
        </is>
      </c>
      <c r="C75" s="157" t="inlineStr">
        <is>
          <t>—</t>
        </is>
      </c>
      <c r="D75" s="157" t="inlineStr">
        <is>
          <t>—</t>
        </is>
      </c>
      <c r="E75" s="157" t="inlineStr">
        <is>
          <t>—</t>
        </is>
      </c>
      <c r="F75" s="157" t="n">
        <v>0.8100000000000001</v>
      </c>
      <c r="G75" s="157" t="n">
        <v>1.76</v>
      </c>
      <c r="H75" s="157" t="n">
        <v>3.4</v>
      </c>
      <c r="I75" s="157" t="inlineStr">
        <is>
          <t>+93.1%</t>
        </is>
      </c>
      <c r="J75" s="157" t="inlineStr"/>
    </row>
    <row r="76" ht="16" customHeight="1" s="23">
      <c r="A76" s="156" t="inlineStr">
        <is>
          <t>WHOOP</t>
        </is>
      </c>
      <c r="B76" s="157" t="inlineStr">
        <is>
          <t>—</t>
        </is>
      </c>
      <c r="C76" s="157" t="inlineStr">
        <is>
          <t>—</t>
        </is>
      </c>
      <c r="D76" s="157" t="inlineStr">
        <is>
          <t>—</t>
        </is>
      </c>
      <c r="E76" s="157" t="inlineStr">
        <is>
          <t>—</t>
        </is>
      </c>
      <c r="F76" s="157" t="n">
        <v>0.79</v>
      </c>
      <c r="G76" s="157" t="n">
        <v>1.51</v>
      </c>
      <c r="H76" s="157" t="n">
        <v>2.7</v>
      </c>
      <c r="I76" s="157" t="inlineStr">
        <is>
          <t>+79.2%</t>
        </is>
      </c>
      <c r="J76" s="157" t="inlineStr"/>
    </row>
    <row r="77" ht="16" customHeight="1" s="23">
      <c r="A77" s="156" t="inlineStr">
        <is>
          <t>Eight Sleep</t>
        </is>
      </c>
      <c r="B77" s="157" t="inlineStr">
        <is>
          <t>—</t>
        </is>
      </c>
      <c r="C77" s="157" t="inlineStr">
        <is>
          <t>—</t>
        </is>
      </c>
      <c r="D77" s="157" t="inlineStr">
        <is>
          <t>—</t>
        </is>
      </c>
      <c r="E77" s="157" t="inlineStr">
        <is>
          <t>—</t>
        </is>
      </c>
      <c r="F77" s="157" t="n">
        <v>0.03</v>
      </c>
      <c r="G77" s="157" t="n">
        <v>0.02</v>
      </c>
      <c r="H77" s="157" t="n">
        <v>0.02</v>
      </c>
      <c r="I77" s="157" t="inlineStr">
        <is>
          <t>+29.9%</t>
        </is>
      </c>
      <c r="J77" s="157" t="inlineStr"/>
    </row>
    <row r="78" ht="16" customHeight="1" s="23">
      <c r="A78" s="156" t="inlineStr">
        <is>
          <t>HRV4Training</t>
        </is>
      </c>
      <c r="B78" s="157" t="inlineStr">
        <is>
          <t>—</t>
        </is>
      </c>
      <c r="C78" s="157" t="inlineStr">
        <is>
          <t>—</t>
        </is>
      </c>
      <c r="D78" s="157" t="inlineStr">
        <is>
          <t>—</t>
        </is>
      </c>
      <c r="E78" s="157" t="inlineStr">
        <is>
          <t>—</t>
        </is>
      </c>
      <c r="F78" s="157" t="n">
        <v>0.03</v>
      </c>
      <c r="G78" s="157" t="n">
        <v>0.02</v>
      </c>
      <c r="H78" s="157" t="n">
        <v>0.02</v>
      </c>
      <c r="I78" s="157" t="inlineStr">
        <is>
          <t>+9.4%</t>
        </is>
      </c>
      <c r="J78" s="157" t="inlineStr"/>
    </row>
    <row r="79" ht="16" customHeight="1" s="23">
      <c r="A79" s="156" t="inlineStr">
        <is>
          <t>Biostrap</t>
        </is>
      </c>
      <c r="B79" s="157" t="inlineStr">
        <is>
          <t>—</t>
        </is>
      </c>
      <c r="C79" s="157" t="inlineStr">
        <is>
          <t>—</t>
        </is>
      </c>
      <c r="D79" s="157" t="inlineStr">
        <is>
          <t>—</t>
        </is>
      </c>
      <c r="E79" s="157" t="inlineStr">
        <is>
          <t>—</t>
        </is>
      </c>
      <c r="F79" s="157" t="n">
        <v>0</v>
      </c>
      <c r="G79" s="157" t="n">
        <v>0</v>
      </c>
      <c r="H79" s="157" t="n">
        <v>0</v>
      </c>
      <c r="I79" s="157" t="inlineStr">
        <is>
          <t>-88.1%</t>
        </is>
      </c>
      <c r="J79" s="157" t="inlineStr"/>
    </row>
    <row r="80" ht="16" customHeight="1" s="23">
      <c r="A80" s="156" t="inlineStr">
        <is>
          <t>Polar Flow</t>
        </is>
      </c>
      <c r="B80" s="157" t="inlineStr">
        <is>
          <t>—</t>
        </is>
      </c>
      <c r="C80" s="157" t="inlineStr">
        <is>
          <t>—</t>
        </is>
      </c>
      <c r="D80" s="157" t="inlineStr">
        <is>
          <t>—</t>
        </is>
      </c>
      <c r="E80" s="157" t="inlineStr">
        <is>
          <t>—</t>
        </is>
      </c>
      <c r="F80" s="157" t="n">
        <v>0.99</v>
      </c>
      <c r="G80" s="157" t="n">
        <v>0.98</v>
      </c>
      <c r="H80" s="157" t="n">
        <v>0.97</v>
      </c>
      <c r="I80" s="157" t="inlineStr">
        <is>
          <t>-1.1%</t>
        </is>
      </c>
      <c r="J80" s="157" t="inlineStr"/>
    </row>
    <row r="81" ht="18" customHeight="1" s="23">
      <c r="A81" s="160" t="inlineStr">
        <is>
          <t>КЛАСТЕР TOTAL</t>
        </is>
      </c>
      <c r="B81" s="161" t="inlineStr">
        <is>
          <t>—</t>
        </is>
      </c>
      <c r="C81" s="161" t="inlineStr">
        <is>
          <t>—</t>
        </is>
      </c>
      <c r="D81" s="161" t="inlineStr">
        <is>
          <t>—</t>
        </is>
      </c>
      <c r="E81" s="161" t="inlineStr">
        <is>
          <t>—</t>
        </is>
      </c>
      <c r="F81" s="161" t="n">
        <v>2.64</v>
      </c>
      <c r="G81" s="161" t="n">
        <v>4.29</v>
      </c>
      <c r="H81" s="161" t="n">
        <v>7.12</v>
      </c>
      <c r="I81" s="161" t="inlineStr">
        <is>
          <t>+66.0%</t>
        </is>
      </c>
      <c r="J81" s="161" t="inlineStr"/>
    </row>
    <row r="83" ht="20" customHeight="1" s="23">
      <c r="A83" s="154" t="inlineStr">
        <is>
          <t>🟡 Community / Team Ops</t>
        </is>
      </c>
    </row>
    <row r="84" ht="18" customHeight="1" s="23">
      <c r="A84" s="155" t="inlineStr">
        <is>
          <t>App</t>
        </is>
      </c>
      <c r="B84" s="155" t="inlineStr">
        <is>
          <t>Rev 2023-24</t>
        </is>
      </c>
      <c r="C84" s="155" t="inlineStr">
        <is>
          <t>Rev 2024-25</t>
        </is>
      </c>
      <c r="D84" s="155" t="inlineStr">
        <is>
          <t>Rev 2025-26</t>
        </is>
      </c>
      <c r="E84" s="155" t="inlineStr">
        <is>
          <t>YoY Rev</t>
        </is>
      </c>
      <c r="F84" s="155" t="inlineStr">
        <is>
          <t>DL 2023-24</t>
        </is>
      </c>
      <c r="G84" s="155" t="inlineStr">
        <is>
          <t>DL 2024-25</t>
        </is>
      </c>
      <c r="H84" s="155" t="inlineStr">
        <is>
          <t>DL 2025-26</t>
        </is>
      </c>
      <c r="I84" s="155" t="inlineStr">
        <is>
          <t>YoY DL</t>
        </is>
      </c>
      <c r="J84" s="155" t="inlineStr">
        <is>
          <t>Signal</t>
        </is>
      </c>
    </row>
    <row r="85" ht="16" customHeight="1" s="23">
      <c r="A85" s="156" t="inlineStr">
        <is>
          <t>GroupMe</t>
        </is>
      </c>
      <c r="B85" s="157" t="inlineStr">
        <is>
          <t>—</t>
        </is>
      </c>
      <c r="C85" s="157" t="inlineStr">
        <is>
          <t>—</t>
        </is>
      </c>
      <c r="D85" s="157" t="inlineStr">
        <is>
          <t>—</t>
        </is>
      </c>
      <c r="E85" s="157" t="inlineStr">
        <is>
          <t>—</t>
        </is>
      </c>
      <c r="F85" s="157" t="n">
        <v>8.92</v>
      </c>
      <c r="G85" s="157" t="n">
        <v>9.41</v>
      </c>
      <c r="H85" s="157" t="n">
        <v>10.02</v>
      </c>
      <c r="I85" s="157" t="inlineStr">
        <is>
          <t>+6.4%</t>
        </is>
      </c>
      <c r="J85" s="157" t="inlineStr"/>
    </row>
    <row r="86" ht="16" customHeight="1" s="23">
      <c r="A86" s="156" t="inlineStr">
        <is>
          <t>Spond</t>
        </is>
      </c>
      <c r="B86" s="157" t="inlineStr">
        <is>
          <t>—</t>
        </is>
      </c>
      <c r="C86" s="157" t="inlineStr">
        <is>
          <t>—</t>
        </is>
      </c>
      <c r="D86" s="157" t="inlineStr">
        <is>
          <t>—</t>
        </is>
      </c>
      <c r="E86" s="157" t="inlineStr">
        <is>
          <t>—</t>
        </is>
      </c>
      <c r="F86" s="157" t="n">
        <v>2.06</v>
      </c>
      <c r="G86" s="157" t="n">
        <v>2.2</v>
      </c>
      <c r="H86" s="157" t="n">
        <v>2.39</v>
      </c>
      <c r="I86" s="157" t="inlineStr">
        <is>
          <t>+8.9%</t>
        </is>
      </c>
      <c r="J86" s="157" t="inlineStr"/>
    </row>
    <row r="87" ht="16" customHeight="1" s="23">
      <c r="A87" s="156" t="inlineStr">
        <is>
          <t>TeamSnap</t>
        </is>
      </c>
      <c r="B87" s="157" t="inlineStr">
        <is>
          <t>—</t>
        </is>
      </c>
      <c r="C87" s="157" t="inlineStr">
        <is>
          <t>—</t>
        </is>
      </c>
      <c r="D87" s="157" t="inlineStr">
        <is>
          <t>—</t>
        </is>
      </c>
      <c r="E87" s="157" t="inlineStr">
        <is>
          <t>—</t>
        </is>
      </c>
      <c r="F87" s="157" t="n">
        <v>2.4</v>
      </c>
      <c r="G87" s="157" t="n">
        <v>2.01</v>
      </c>
      <c r="H87" s="157" t="n">
        <v>1.62</v>
      </c>
      <c r="I87" s="157" t="inlineStr">
        <is>
          <t>-19.4%</t>
        </is>
      </c>
      <c r="J87" s="157" t="inlineStr"/>
    </row>
    <row r="88" ht="16" customHeight="1" s="23">
      <c r="A88" s="156" t="inlineStr">
        <is>
          <t>SportsEngine</t>
        </is>
      </c>
      <c r="B88" s="157" t="inlineStr">
        <is>
          <t>—</t>
        </is>
      </c>
      <c r="C88" s="157" t="inlineStr">
        <is>
          <t>—</t>
        </is>
      </c>
      <c r="D88" s="157" t="inlineStr">
        <is>
          <t>—</t>
        </is>
      </c>
      <c r="E88" s="157" t="inlineStr">
        <is>
          <t>—</t>
        </is>
      </c>
      <c r="F88" s="157" t="n">
        <v>1.3</v>
      </c>
      <c r="G88" s="157" t="n">
        <v>1.09</v>
      </c>
      <c r="H88" s="157" t="n">
        <v>0.99</v>
      </c>
      <c r="I88" s="157" t="inlineStr">
        <is>
          <t>-9.0%</t>
        </is>
      </c>
      <c r="J88" s="157" t="inlineStr"/>
    </row>
    <row r="89" ht="16" customHeight="1" s="23">
      <c r="A89" s="156" t="inlineStr">
        <is>
          <t>Heja</t>
        </is>
      </c>
      <c r="B89" s="157" t="inlineStr">
        <is>
          <t>—</t>
        </is>
      </c>
      <c r="C89" s="157" t="inlineStr">
        <is>
          <t>—</t>
        </is>
      </c>
      <c r="D89" s="157" t="inlineStr">
        <is>
          <t>—</t>
        </is>
      </c>
      <c r="E89" s="157" t="inlineStr">
        <is>
          <t>—</t>
        </is>
      </c>
      <c r="F89" s="157" t="n">
        <v>1.07</v>
      </c>
      <c r="G89" s="157" t="n">
        <v>0.93</v>
      </c>
      <c r="H89" s="157" t="n">
        <v>0.79</v>
      </c>
      <c r="I89" s="157" t="inlineStr">
        <is>
          <t>-14.5%</t>
        </is>
      </c>
      <c r="J89" s="157" t="inlineStr"/>
    </row>
    <row r="90" ht="16" customHeight="1" s="23">
      <c r="A90" s="156" t="inlineStr">
        <is>
          <t>Stack Team App</t>
        </is>
      </c>
      <c r="B90" s="157" t="inlineStr">
        <is>
          <t>—</t>
        </is>
      </c>
      <c r="C90" s="157" t="inlineStr">
        <is>
          <t>—</t>
        </is>
      </c>
      <c r="D90" s="157" t="inlineStr">
        <is>
          <t>—</t>
        </is>
      </c>
      <c r="E90" s="157" t="inlineStr">
        <is>
          <t>—</t>
        </is>
      </c>
      <c r="F90" s="157" t="n">
        <v>0.96</v>
      </c>
      <c r="G90" s="157" t="n">
        <v>0.8100000000000001</v>
      </c>
      <c r="H90" s="157" t="n">
        <v>0.65</v>
      </c>
      <c r="I90" s="157" t="inlineStr">
        <is>
          <t>-19.5%</t>
        </is>
      </c>
      <c r="J90" s="157" t="inlineStr"/>
    </row>
    <row r="91" ht="16" customHeight="1" s="23">
      <c r="A91" s="156" t="inlineStr">
        <is>
          <t>SportsEngine Tourney</t>
        </is>
      </c>
      <c r="B91" s="157" t="inlineStr">
        <is>
          <t>—</t>
        </is>
      </c>
      <c r="C91" s="157" t="inlineStr">
        <is>
          <t>—</t>
        </is>
      </c>
      <c r="D91" s="157" t="inlineStr">
        <is>
          <t>—</t>
        </is>
      </c>
      <c r="E91" s="157" t="inlineStr">
        <is>
          <t>—</t>
        </is>
      </c>
      <c r="F91" s="157" t="n">
        <v>0.83</v>
      </c>
      <c r="G91" s="157" t="n">
        <v>0.71</v>
      </c>
      <c r="H91" s="157" t="n">
        <v>0.64</v>
      </c>
      <c r="I91" s="157" t="inlineStr">
        <is>
          <t>-10.0%</t>
        </is>
      </c>
      <c r="J91" s="157" t="inlineStr"/>
    </row>
    <row r="92" ht="16" customHeight="1" s="23">
      <c r="A92" s="156" t="inlineStr">
        <is>
          <t>LeagueApps Play</t>
        </is>
      </c>
      <c r="B92" s="157" t="inlineStr">
        <is>
          <t>—</t>
        </is>
      </c>
      <c r="C92" s="157" t="inlineStr">
        <is>
          <t>—</t>
        </is>
      </c>
      <c r="D92" s="157" t="inlineStr">
        <is>
          <t>—</t>
        </is>
      </c>
      <c r="E92" s="157" t="inlineStr">
        <is>
          <t>—</t>
        </is>
      </c>
      <c r="F92" s="157" t="n">
        <v>0.58</v>
      </c>
      <c r="G92" s="157" t="n">
        <v>0.62</v>
      </c>
      <c r="H92" s="157" t="n">
        <v>0.62</v>
      </c>
      <c r="I92" s="157" t="inlineStr">
        <is>
          <t>-1.1%</t>
        </is>
      </c>
      <c r="J92" s="157" t="inlineStr"/>
    </row>
    <row r="93" ht="18" customHeight="1" s="23">
      <c r="A93" s="160" t="inlineStr">
        <is>
          <t>КЛАСТЕР TOTAL</t>
        </is>
      </c>
      <c r="B93" s="161" t="inlineStr">
        <is>
          <t>—</t>
        </is>
      </c>
      <c r="C93" s="161" t="inlineStr">
        <is>
          <t>—</t>
        </is>
      </c>
      <c r="D93" s="161" t="inlineStr">
        <is>
          <t>—</t>
        </is>
      </c>
      <c r="E93" s="161" t="inlineStr">
        <is>
          <t>—</t>
        </is>
      </c>
      <c r="F93" s="161" t="n">
        <v>18.11</v>
      </c>
      <c r="G93" s="161" t="n">
        <v>17.78</v>
      </c>
      <c r="H93" s="161" t="n">
        <v>17.72</v>
      </c>
      <c r="I93" s="161" t="inlineStr">
        <is>
          <t>-0.3%</t>
        </is>
      </c>
      <c r="J93" s="161" t="inlineStr"/>
    </row>
  </sheetData>
  <mergeCells count="9">
    <mergeCell ref="A1:J1"/>
    <mergeCell ref="A61:J61"/>
    <mergeCell ref="A2:J2"/>
    <mergeCell ref="A83:J83"/>
    <mergeCell ref="A50:J50"/>
    <mergeCell ref="A4:J4"/>
    <mergeCell ref="A73:J73"/>
    <mergeCell ref="A16:J16"/>
    <mergeCell ref="A33:J3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6" customWidth="1" style="23" min="1" max="1"/>
    <col width="40" customWidth="1" style="23" min="2" max="2"/>
    <col width="52" customWidth="1" style="23" min="3" max="3"/>
  </cols>
  <sheetData>
    <row r="1" ht="32" customHeight="1" s="23">
      <c r="A1" s="112" t="inlineStr">
        <is>
          <t>Critical notes — як правильно читати цей датасет</t>
        </is>
      </c>
    </row>
    <row r="3" ht="24" customHeight="1" s="23">
      <c r="A3" s="78" t="inlineStr">
        <is>
          <t>#</t>
        </is>
      </c>
      <c r="B3" s="78" t="inlineStr">
        <is>
          <t>Коментар</t>
        </is>
      </c>
      <c r="C3" s="78" t="inlineStr">
        <is>
          <t>Чому це важливо</t>
        </is>
      </c>
    </row>
    <row r="4" ht="68" customHeight="1" s="23">
      <c r="A4" s="113" t="inlineStr">
        <is>
          <t>1</t>
        </is>
      </c>
      <c r="B4" s="81" t="inlineStr">
        <is>
          <t>У CSV немає окремої текстової колонки з comments</t>
        </is>
      </c>
      <c r="C4" s="114" t="inlineStr">
        <is>
          <t>Інтерпретаційні нотатки треба зберігати поруч із цифрами окремо, інакше логіка читання даних губиться.</t>
        </is>
      </c>
    </row>
    <row r="5" ht="68" customHeight="1" s="23">
      <c r="A5" s="113" t="inlineStr">
        <is>
          <t>2</t>
        </is>
      </c>
      <c r="B5" s="81" t="inlineStr">
        <is>
          <t>У файлах є дублікати рядків між різними CSV</t>
        </is>
      </c>
      <c r="C5" s="114" t="inlineStr">
        <is>
          <t>Дедуплікація по (app, date, country, platform, device, downloads, revenue, RPD) обовʼязкова, інакше підсумки завищуються.</t>
        </is>
      </c>
    </row>
    <row r="6" ht="68" customHeight="1" s="23">
      <c r="A6" s="113" t="inlineStr">
        <is>
          <t>3</t>
        </is>
      </c>
      <c r="B6" s="81" t="inlineStr">
        <is>
          <t>Revenue = $0 ≠ продукт не заробляє</t>
        </is>
      </c>
      <c r="C6" s="114" t="inlineStr">
        <is>
          <t>Може означати: web monetization, B2B/enterprise, hardware, marketplace, booking, services, off-app subscriptions. Особливо: WHOOP, Oura, ClassPass, Eventbrite, GetYourGuide, Viator.</t>
        </is>
      </c>
    </row>
    <row r="7" ht="68" customHeight="1" s="23">
      <c r="A7" s="113" t="inlineStr">
        <is>
          <t>4</t>
        </is>
      </c>
      <c r="B7" s="81" t="inlineStr">
        <is>
          <t>Датасет краще валідує consumer adjacencies, НЕ B2B</t>
        </is>
      </c>
      <c r="C7" s="114" t="inlineStr">
        <is>
          <t>Сильний для: outdoor/travel, coaching, courts, recovery, events. Слабший для: enterprise wellness, HR dashboards, B2B benefits admin.</t>
        </is>
      </c>
    </row>
    <row r="8" ht="68" customHeight="1" s="23">
      <c r="A8" s="113" t="inlineStr">
        <is>
          <t>5</t>
        </is>
      </c>
      <c r="B8" s="81" t="inlineStr">
        <is>
          <t>Це не «остаточна істина по всіх ринках»</t>
        </is>
      </c>
      <c r="C8" s="114" t="inlineStr">
        <is>
          <t>Читати як: валідація consumer market pull + перевірка реального mobile demand + perевірка willingness-to-pay у related categories. Не як: універсальний arbiter стратегії.</t>
        </is>
      </c>
    </row>
    <row r="10" ht="26" customHeight="1" s="23">
      <c r="A10" s="115" t="inlineStr">
        <is>
          <t>✅ Говорити   /   ❌ Не переоцінювати з цих даних</t>
        </is>
      </c>
    </row>
    <row r="11" ht="28" customHeight="1" s="23">
      <c r="A11" s="78" t="n"/>
      <c r="B11" s="78" t="inlineStr">
        <is>
          <t>✅ Цей датасет ДОВОДИТЬ</t>
        </is>
      </c>
      <c r="C11" s="78" t="inlineStr">
        <is>
          <t>❌ З цього датасету НЕ МОЖНА казати</t>
        </is>
      </c>
    </row>
    <row r="12" ht="42" customHeight="1" s="23">
      <c r="A12" s="64" t="inlineStr">
        <is>
          <t>Outdoor</t>
        </is>
      </c>
      <c r="B12" s="80" t="inlineStr">
        <is>
          <t>Outdoor planning і discovery — реальні paid markets</t>
        </is>
      </c>
      <c r="C12" s="84" t="inlineStr">
        <is>
          <t>Що біг-ест download-категорія автоматично = найкращий стратегічний fit для Strava</t>
        </is>
      </c>
    </row>
    <row r="13" ht="42" customHeight="1" s="23">
      <c r="A13" s="64" t="inlineStr">
        <is>
          <t>Coaching</t>
        </is>
      </c>
      <c r="B13" s="80" t="inlineStr">
        <is>
          <t>Coaching / guided performance — одна з найгарячіших adjacent ніш</t>
        </is>
      </c>
      <c r="C13" s="84" t="inlineStr">
        <is>
          <t>Що нульовий mobile revenue = weak product</t>
        </is>
      </c>
    </row>
    <row r="14" ht="42" customHeight="1" s="23">
      <c r="A14" s="64" t="inlineStr">
        <is>
          <t>Social Sports</t>
        </is>
      </c>
      <c r="B14" s="80" t="inlineStr">
        <is>
          <t>Social sports — менші, але fast-growing і timely</t>
        </is>
      </c>
      <c r="C14" s="84" t="inlineStr">
        <is>
          <t>Що corporate wellness вже доведено як best expansion path</t>
        </is>
      </c>
    </row>
    <row r="15" ht="42" customHeight="1" s="23">
      <c r="A15" s="64" t="inlineStr">
        <is>
          <t>Recovery</t>
        </is>
      </c>
      <c r="B15" s="80" t="inlineStr">
        <is>
          <t>Recovery — реальний попит, але hardware/ecosystem-driven</t>
        </is>
      </c>
      <c r="C15" s="84" t="inlineStr">
        <is>
          <t>Що ці цифри = остаточна валідація; це тільки 1 джерело з ~5 потрібних</t>
        </is>
      </c>
    </row>
  </sheetData>
  <mergeCells count="2">
    <mergeCell ref="A1:C1"/>
    <mergeCell ref="A10:C1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 filterMode="0">
    <tabColor rgb="00548235"/>
    <outlinePr summaryBelow="1" summaryRight="1"/>
    <pageSetUpPr fitToPage="0"/>
  </sheetPr>
  <dimension ref="A1:Q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6" customWidth="1" style="22" min="1" max="1"/>
    <col width="26" customWidth="1" style="22" min="2" max="2"/>
    <col width="18" customWidth="1" style="22" min="3" max="3"/>
    <col width="7" customWidth="1" style="22" min="4" max="4"/>
    <col width="7" customWidth="1" style="22" min="5" max="5"/>
    <col width="10" customWidth="1" style="22" min="6" max="6"/>
    <col width="7" customWidth="1" style="22" min="7" max="7"/>
    <col width="7" customWidth="1" style="22" min="8" max="8"/>
    <col width="7" customWidth="1" style="22" min="9" max="9"/>
    <col width="7" customWidth="1" style="22" min="10" max="12"/>
    <col width="7" customWidth="1" style="23" min="11" max="11"/>
    <col width="8" customWidth="1" style="23" min="12" max="12"/>
    <col width="32" customWidth="1" style="22" min="13" max="13"/>
    <col width="42" customWidth="1" style="23" min="14" max="14"/>
    <col width="22" customWidth="1" style="23" min="15" max="15"/>
    <col width="30" customWidth="1" style="23" min="16" max="16"/>
    <col width="34" customWidth="1" style="23" min="17" max="17"/>
  </cols>
  <sheetData>
    <row r="1" ht="33.75" customHeight="1" s="23">
      <c r="A1" s="24" t="inlineStr">
        <is>
          <t>STRAVA — ОЦІНКА ІДЕЙ ДЛЯ БРЕЙНШТОРМОВОЇ СЕСІЇ</t>
        </is>
      </c>
    </row>
    <row r="2" ht="21.75" customHeight="1" s="23">
      <c r="A2" s="25" t="inlineStr">
        <is>
          <t>Заповніть жовті клітинки під час сесії. Шкала: 1 = найнижче, 5 = найвище (крім «Складності» і «Ризику», де 5 = найгірше).</t>
        </is>
      </c>
    </row>
    <row r="3" ht="55" customHeight="1" s="23">
      <c r="A3" s="26" t="inlineStr">
        <is>
          <t>#</t>
        </is>
      </c>
      <c r="B3" s="26" t="inlineStr">
        <is>
          <t>Назва ідеї</t>
        </is>
      </c>
      <c r="C3" s="26" t="inlineStr">
        <is>
          <t>Сегмент</t>
        </is>
      </c>
      <c r="D3" s="26" t="inlineStr">
        <is>
          <t>Стратегічна
відповідність
бренду (1–5)</t>
        </is>
      </c>
      <c r="E3" s="26" t="inlineStr">
        <is>
          <t>Розмір
аудиторії
(1–5)</t>
        </is>
      </c>
      <c r="F3" s="26" t="inlineStr">
        <is>
          <t>Аудиторія
вже в Strava?
(Так / Частково / Ні)</t>
        </is>
      </c>
      <c r="G3" s="26" t="inlineStr">
        <is>
          <t>Монетизаційний
потенціал
(1–5)</t>
        </is>
      </c>
      <c r="H3" s="26" t="inlineStr">
        <is>
          <t>Складність
реалізації
(1=легко,
5=дуже складно)</t>
        </is>
      </c>
      <c r="I3" s="26" t="inlineStr">
        <is>
          <t>Швидкість
виходу
на ринок
(1=повільно, 5=швидко)</t>
        </is>
      </c>
      <c r="J3" s="26" t="inlineStr">
        <is>
          <t>Сила
конкурентів
(1=сильні,
5=слабкі)</t>
        </is>
      </c>
      <c r="K3" s="26" t="inlineStr">
        <is>
          <t>Ризик для
core-продукту
(1=низький,
5=високий)</t>
        </is>
      </c>
      <c r="L3" s="26" t="inlineStr">
        <is>
          <t>Загальна оцінка
команди
(1–5)</t>
        </is>
      </c>
      <c r="M3" s="26" t="inlineStr">
        <is>
          <t>Коментарі / нотатки</t>
        </is>
      </c>
      <c r="N3" s="50" t="inlineStr">
        <is>
          <t>💰 Гроші в ніші
(app-store DL/Revenue 2025-26 + топ-конкуренти)</t>
        </is>
      </c>
      <c r="O3" s="68" t="inlineStr">
        <is>
          <t>🏁 Топ-конкуренти
(5-6 основних)</t>
        </is>
      </c>
      <c r="P3" s="71" t="inlineStr">
        <is>
          <t>💬 Фідбек лектора
(19 Apr 2026)</t>
        </is>
      </c>
      <c r="Q3" s="116" t="inlineStr">
        <is>
          <t>🎓 Genesis-framework
вердикт (Market · Demand · Fit · $ · Proto · Evidence)</t>
        </is>
      </c>
    </row>
    <row r="4" ht="22" customHeight="1" s="23">
      <c r="A4" s="52" t="inlineStr">
        <is>
          <t>● Усі ідеї — відсортовано за L ↓   |   🟢 Core · 🟡 Non-obvious · 🔴 Risky   |   💰 N = платні тули · 💬 P = лектор · 🎓 Q = Genesis-фреймворк</t>
        </is>
      </c>
    </row>
    <row r="5" ht="150" customHeight="1" s="23">
      <c r="A5" s="53" t="inlineStr">
        <is>
          <t>1 🟢</t>
        </is>
      </c>
      <c r="B5" s="54" t="inlineStr">
        <is>
          <t>Strava Escapes / Active Travel</t>
        </is>
      </c>
      <c r="C5" s="55" t="inlineStr">
        <is>
          <t>Для активних мандрівників</t>
        </is>
      </c>
      <c r="D5" s="56" t="n">
        <v>5</v>
      </c>
      <c r="E5" s="56" t="n">
        <v>4</v>
      </c>
      <c r="F5" s="56" t="inlineStr">
        <is>
          <t>Так</t>
        </is>
      </c>
      <c r="G5" s="56" t="n">
        <v>4</v>
      </c>
      <c r="H5" s="56" t="n">
        <v>3</v>
      </c>
      <c r="I5" s="56" t="n">
        <v>3</v>
      </c>
      <c r="J5" s="56" t="n">
        <v>3</v>
      </c>
      <c r="K5" s="56" t="n">
        <v>2</v>
      </c>
      <c r="L5" s="57" t="n">
        <v>5</v>
      </c>
      <c r="M5" s="58" t="inlineStr">
        <is>
          <t>Top-1 у Codex (4.55), top-2 у ChatGPT, top-2 у Perplexity. Найкращий fit з Heatmaps/routes/clubs. Ризик: провалитися у «кращі карти» замість travel-експансії. Конкурент: komoot.
→ Лектор: додати e-commerce angle (gear-store, партнерства) у майбутній розгляд.</t>
        </is>
      </c>
      <c r="N5" s="51" t="inlineStr">
        <is>
          <t>Outdoor/Active Travel кластер (25-26): 91.7M DL / $326.6M Rev · YoY DL +37.7%
AllTrails 15.7M DL / $76.0M · komoot 8.1M DL / $35.3M · Wikiloc 4.5M DL / $9.7M · Outdooractive 1.1M DL / $3.9M
→ Найсильніша валідація в датасеті. Люди вже платять за outdoor utility.</t>
        </is>
      </c>
      <c r="O5" s="69" t="inlineStr">
        <is>
          <t>komoot · AllTrails · Wikiloc · Outdooractive · Trailforks · GetYourGuide</t>
        </is>
      </c>
      <c r="P5" s="72" t="inlineStr">
        <is>
          <t>Не побачив у вас опції з е-комом тут.</t>
        </is>
      </c>
      <c r="Q5" s="117" t="inlineStr">
        <is>
          <t>Market: Large+growing
Demand: Clear
Fit: Strong (native)
$: Clear
Proto: Medium
Evidence: Strong
✅ KEEP — #1 shortlist</t>
        </is>
      </c>
    </row>
    <row r="6" ht="150" customHeight="1" s="23">
      <c r="A6" s="53" t="inlineStr">
        <is>
          <t>2 🟢</t>
        </is>
      </c>
      <c r="B6" s="54" t="inlineStr">
        <is>
          <t>Strava Work / Corporate Wellness</t>
        </is>
      </c>
      <c r="C6" s="55" t="inlineStr">
        <is>
          <t>Для компаній і HR</t>
        </is>
      </c>
      <c r="D6" s="56" t="n">
        <v>4</v>
      </c>
      <c r="E6" s="56" t="n">
        <v>5</v>
      </c>
      <c r="F6" s="56" t="inlineStr">
        <is>
          <t>Частково</t>
        </is>
      </c>
      <c r="G6" s="56" t="n">
        <v>5</v>
      </c>
      <c r="H6" s="56" t="n">
        <v>4</v>
      </c>
      <c r="I6" s="56" t="n">
        <v>3</v>
      </c>
      <c r="J6" s="56" t="n">
        <v>2</v>
      </c>
      <c r="K6" s="56" t="n">
        <v>2</v>
      </c>
      <c r="L6" s="57" t="n">
        <v>4</v>
      </c>
      <c r="M6" s="58" t="inlineStr">
        <is>
          <t>Всі 6 досліджень у топ-3. Gemini/DOCX/Perplexity ставлять №1: B2B TAM $74-115B, Strava Clubs/Challenges готові під enterprise. Ризик: довгий sales-цикл, конкуренція з Wellhub/Virgin Pulse.</t>
        </is>
      </c>
      <c r="N6" s="51" t="inlineStr">
        <is>
          <t>❌ Цим датасетом НЕ валідується (Комент. 4).
B2B revenue поза app-store: Wellhub $315M ARR (est), Virgin Pulse $400M+ Rev, Limeade acq. $175M.
→ Потрібні PitchBook / CB Insights / Crunchbase, а не app-store цифри.</t>
        </is>
      </c>
      <c r="O6" s="69" t="inlineStr">
        <is>
          <t>Wellhub (Gympass) · Virgin Pulse · BetterMe Business · Limeade · Vitality · Calm Business</t>
        </is>
      </c>
      <c r="P6" s="72" t="inlineStr">
        <is>
          <t>Тут треба шукати щось про гроші у відкритих джерелах (PitchBook / CB Insights / публічні звіти).</t>
        </is>
      </c>
      <c r="Q6" s="118" t="inlineStr">
        <is>
          <t>Market: Huge TAM
Demand: Weak in data
Fit: Partial (B2B ≠ DNA)
$: Long cycle
Proto: Hard
Evidence: Weak here
⚠️ DEPRIORITIZE — велика ставка, але B2B-мотив і weak proof у нашому датасеті</t>
        </is>
      </c>
    </row>
    <row r="7" ht="150" customHeight="1" s="23">
      <c r="A7" s="59" t="inlineStr">
        <is>
          <t>3 🟡</t>
        </is>
      </c>
      <c r="B7" s="54" t="inlineStr">
        <is>
          <t>Local Experiences Marketplace</t>
        </is>
      </c>
      <c r="C7" s="55" t="inlineStr">
        <is>
          <t>Для локальних спільнот</t>
        </is>
      </c>
      <c r="D7" s="56" t="n">
        <v>5</v>
      </c>
      <c r="E7" s="56" t="n">
        <v>4</v>
      </c>
      <c r="F7" s="56" t="inlineStr">
        <is>
          <t>Так</t>
        </is>
      </c>
      <c r="G7" s="56" t="n">
        <v>4</v>
      </c>
      <c r="H7" s="56" t="n">
        <v>4</v>
      </c>
      <c r="I7" s="56" t="n">
        <v>3</v>
      </c>
      <c r="J7" s="56" t="n">
        <v>3</v>
      </c>
      <c r="K7" s="56" t="n">
        <v>2</v>
      </c>
      <c r="L7" s="57" t="n">
        <v>4</v>
      </c>
      <c r="M7" s="58" t="inlineStr">
        <is>
          <t>ChatGPT — фінальний вибір (4.6). Ідеальний fit soc.graph+location. Ризик: marketplace liquidity + safety. Аналог: Airbnb Experiences, Meetup.</t>
        </is>
      </c>
      <c r="N7" s="51" t="inlineStr">
        <is>
          <t>Events/Travel Discovery кластер: 46.7M DL / $14.1M Rev у сторі.
Meetup 4.9M DL / $14.1M · GetYourGuide 17.5M DL ($0 in-app, booking поза сторі)
→ Великий user demand, але справжні гроші у booking/GMV.</t>
        </is>
      </c>
      <c r="O7" s="69" t="inlineStr">
        <is>
          <t>Meetup · Airbnb Experiences · ClassPass · Eventbrite · GetYourGuide · Timeleft</t>
        </is>
      </c>
      <c r="P7" s="72" t="inlineStr">
        <is>
          <t>Мало ревеню в апках, але багато скачувань — треба прикидувати гроші (booking/GMV, не in-app).</t>
        </is>
      </c>
      <c r="Q7" s="117" t="inlineStr">
        <is>
          <t>Market: Large
Demand: Clear (adjacent)
Fit: Strong (soc+loc)
$: Clear (marketplace)
Proto: Medium
Evidence: Directional
✅ KEEP — #3 shortlist (або swap на Courts)</t>
        </is>
      </c>
    </row>
    <row r="8" ht="150" customHeight="1" s="23">
      <c r="A8" s="53" t="inlineStr">
        <is>
          <t>4 🟢</t>
        </is>
      </c>
      <c r="B8" s="54" t="inlineStr">
        <is>
          <t>Strava Live / Race &amp; Event Marketplace</t>
        </is>
      </c>
      <c r="C8" s="55" t="inlineStr">
        <is>
          <t>Для атлетів і організаторів подій</t>
        </is>
      </c>
      <c r="D8" s="56" t="n">
        <v>4</v>
      </c>
      <c r="E8" s="56" t="n">
        <v>4</v>
      </c>
      <c r="F8" s="56" t="inlineStr">
        <is>
          <t>Так</t>
        </is>
      </c>
      <c r="G8" s="56" t="n">
        <v>4</v>
      </c>
      <c r="H8" s="56" t="n">
        <v>3</v>
      </c>
      <c r="I8" s="56" t="n">
        <v>3</v>
      </c>
      <c r="J8" s="56" t="n">
        <v>2</v>
      </c>
      <c r="K8" s="56" t="n">
        <v>2</v>
      </c>
      <c r="L8" s="57" t="n">
        <v>4</v>
      </c>
      <c r="M8" s="58" t="inlineStr">
        <is>
          <t>Top-3 у Gemini/ChatGPT/Codex/Perplexity (20-4.4). Марафон +9% YoY; атлети вже тренуються і постять результати у Strava. Конкуренти: RunSignup, Eventbrite, Let's Do This.</t>
        </is>
      </c>
      <c r="N8" s="51" t="inlineStr">
        <is>
          <t>Events кластер: 46.7M DL / $14.1M (in-app) — недооцінює реальний бізнес.
Eventbrite 9.3M DL · Fever 11.4M DL · Viator 3.6M DL · Meetup $14.1M
→ Discovery-поведінка масова. Monetization через registration fees (off-store).</t>
        </is>
      </c>
      <c r="O8" s="69" t="inlineStr">
        <is>
          <t>RunSignup · Let's Do This · Active.com · Race Roster · Eventbrite · ahotu</t>
        </is>
      </c>
      <c r="P8" s="72" t="inlineStr">
        <is>
          <t>Майже всі не заробляють серед моб-апок — треба дивитися веб. Фрішного SimilarWeb по кількості й динаміці трафіку має вистачити.</t>
        </is>
      </c>
      <c r="Q8" s="69" t="inlineStr">
        <is>
          <t>Market: Medium+growing
Demand: Clear
Fit: Strong
$: Clear (reg fees)
Proto: Medium
Evidence: Directional
🟡 CONSIDER — strong fit, але overlap з Local Experiences</t>
        </is>
      </c>
    </row>
    <row r="9" ht="150" customHeight="1" s="23">
      <c r="A9" s="53" t="inlineStr">
        <is>
          <t>5 🟢</t>
        </is>
      </c>
      <c r="B9" s="54" t="inlineStr">
        <is>
          <t>Coach Marketplace</t>
        </is>
      </c>
      <c r="C9" s="55" t="inlineStr">
        <is>
          <t>Для тих, хто шукає тренера</t>
        </is>
      </c>
      <c r="D9" s="56" t="n">
        <v>4</v>
      </c>
      <c r="E9" s="56" t="n">
        <v>4</v>
      </c>
      <c r="F9" s="56" t="inlineStr">
        <is>
          <t>Частково</t>
        </is>
      </c>
      <c r="G9" s="56" t="n">
        <v>4</v>
      </c>
      <c r="H9" s="56" t="n">
        <v>3</v>
      </c>
      <c r="I9" s="56" t="n">
        <v>3</v>
      </c>
      <c r="J9" s="56" t="n">
        <v>2</v>
      </c>
      <c r="K9" s="56" t="n">
        <v>2</v>
      </c>
      <c r="L9" s="57" t="n">
        <v>4</v>
      </c>
      <c r="M9" s="58" t="inlineStr">
        <is>
          <t>ChatGPT ставить №1 (4.7). Сильний business case, але крауд: COROS Training Hub, TrainingPeaks, Garmin Coach. Harder to demo візуально.</t>
        </is>
      </c>
      <c r="N9" s="51" t="inlineStr">
        <is>
          <t>Coaching/Training кластер: 7.5M DL / $68.7M Rev · YoY DL +71.4% (!) 
Runna 6.6M DL / $56.1M (breakout) · TrainingPeaks 0.36M / $7.0M · GOWOD 0.31M / $4.4M
→ Один з найсильніших сигналів WTP у всьому датасеті.</t>
        </is>
      </c>
      <c r="O9" s="69" t="inlineStr">
        <is>
          <t>TrainingPeaks · Runna · Final Surge · TrueCoach · CoachNow · Garmin Coach</t>
        </is>
      </c>
      <c r="P9" s="72" t="inlineStr">
        <is>
          <t>Мало хто заробляє, але вигрузку зробив; скачувань теж не у всіх є.</t>
        </is>
      </c>
      <c r="Q9" s="117" t="inlineStr">
        <is>
          <t>Market: Medium+hot
Demand: Very clear (Runna)
Fit: Strong (Runna owned)
$: Clear (consumer sub)
Proto: Medium
Evidence: Strong
✅ KEEP — #2 shortlist</t>
        </is>
      </c>
    </row>
    <row r="10" ht="150" customHeight="1" s="23">
      <c r="A10" s="53" t="inlineStr">
        <is>
          <t>6 🟢</t>
        </is>
      </c>
      <c r="B10" s="54" t="inlineStr">
        <is>
          <t>Strava Ready / Recovery &amp; Longevity</t>
        </is>
      </c>
      <c r="C10" s="55" t="inlineStr">
        <is>
          <t>Для тих, хто слідкує за відновленням</t>
        </is>
      </c>
      <c r="D10" s="56" t="n">
        <v>4</v>
      </c>
      <c r="E10" s="56" t="n">
        <v>4</v>
      </c>
      <c r="F10" s="56" t="inlineStr">
        <is>
          <t>Частково</t>
        </is>
      </c>
      <c r="G10" s="56" t="n">
        <v>4</v>
      </c>
      <c r="H10" s="56" t="n">
        <v>4</v>
      </c>
      <c r="I10" s="56" t="n">
        <v>3</v>
      </c>
      <c r="J10" s="56" t="n">
        <v>2</v>
      </c>
      <c r="K10" s="56" t="n">
        <v>2</v>
      </c>
      <c r="L10" s="57" t="n">
        <v>4</v>
      </c>
      <c r="M10" s="58" t="inlineStr">
        <is>
          <t>Longevity market &gt;$740B до 2026. Strava має load history, але не має HRV/sleep hardware — залежність від API (WHOOP/Oura/Garmin Body Battery). Defensive проти Connect+.
→ Лектор: downloads = proxy для монетизації; розглянути sleep-apps окремо.</t>
        </is>
      </c>
      <c r="N10" s="51" t="inlineStr">
        <is>
          <t>Recovery/Longevity: 6.2M DL / $0.7M Rev у сторі (hardware-led).
Oura 3.4M DL / $0 · WHOOP 2.7M DL / $0 · Eight Sleep 0.03M / $0.6M · HRV4Training 0.02M / $0.1M
→ Demand є (+82% YoY), але гроші поза app-store. → feature-layer, не окремий wedge.</t>
        </is>
      </c>
      <c r="O10" s="69" t="inlineStr">
        <is>
          <t>WHOOP · Oura · Eight Sleep · Garmin Body Battery · HRV4Training · Polar Flow</t>
        </is>
      </c>
      <c r="P10" s="72" t="inlineStr">
        <is>
          <t>Скачування на апках-конекторах — можна розглядати як проксі до покупки й оцінити гроші (якщо нема публічних даних). Вигрузив дані по скачуваннях. Як щодо розглянути sleep-apps?</t>
        </is>
      </c>
      <c r="Q10" s="118" t="inlineStr">
        <is>
          <t>Market: Growing (hardware-led)
Demand: Partial
Fit: Medium
$: Weak in app-store
Proto: Medium
Evidence: Mixed
⚠️ DEPRIORITIZE — краще як feature-layer, не окремий wedge</t>
        </is>
      </c>
    </row>
    <row r="11" ht="150" customHeight="1" s="23">
      <c r="A11" s="53" t="inlineStr">
        <is>
          <t>7 🟢</t>
        </is>
      </c>
      <c r="B11" s="54" t="inlineStr">
        <is>
          <t>Creator Pass / Creator Economy</t>
        </is>
      </c>
      <c r="C11" s="55" t="inlineStr">
        <is>
          <t>Для спортивних creator-ів</t>
        </is>
      </c>
      <c r="D11" s="56" t="n">
        <v>5</v>
      </c>
      <c r="E11" s="56" t="n">
        <v>3</v>
      </c>
      <c r="F11" s="56" t="inlineStr">
        <is>
          <t>Так</t>
        </is>
      </c>
      <c r="G11" s="56" t="n">
        <v>4</v>
      </c>
      <c r="H11" s="56" t="n">
        <v>3</v>
      </c>
      <c r="I11" s="56" t="n">
        <v>4</v>
      </c>
      <c r="J11" s="56" t="n">
        <v>3</v>
      </c>
      <c r="K11" s="56" t="n">
        <v>2</v>
      </c>
      <c r="L11" s="57" t="n">
        <v>4</v>
      </c>
      <c r="M11" s="58" t="inlineStr">
        <is>
          <t>Gemini top-2 (23/25). «Patreon for fitness»: Strava вже дім атлетів і інфлюенсерів. Rev-share 15-20%. Ризик: залежить від виконання creator economics.
→ Лектор: Ladder — workout-апка, може бути у Coaching; Patreon/Peloton — переглянути категоризацію.</t>
        </is>
      </c>
      <c r="N11" s="51" t="inlineStr">
        <is>
          <t>Немає прямого кластера. Адʼяцентний Coaching: Runna $56M, TrainingPeaks $7M.
Playbook, Fitplan, Ladder — слабко видно у топ-ревʼю (низькі DL).
→ Валідація слабка; базуватись на Strava-audience leverage.</t>
        </is>
      </c>
      <c r="O11" s="69" t="inlineStr">
        <is>
          <t>Playbook · Fitplan · Ladder · Future · Patreon (analog) · Peloton Guide</t>
        </is>
      </c>
      <c r="P11" s="72" t="inlineStr">
        <is>
          <t>Ladder — по суті просто workout-апка, можливо віднести до іншої категорії. Те саме з Patreon і Peloton — потенційно їх треба розвести по правильних нішах.</t>
        </is>
      </c>
      <c r="Q11" s="118" t="inlineStr">
        <is>
          <t>Market: Medium
Demand: Partial
Fit: Strong
$: Unproven
Proto: Medium
Evidence: Weak
🚫 DEPRIORITIZE — monetization extension, не expansion (Avoid 4)</t>
        </is>
      </c>
    </row>
    <row r="12" ht="150" customHeight="1" s="23">
      <c r="A12" s="59" t="inlineStr">
        <is>
          <t>8 🟡</t>
        </is>
      </c>
      <c r="B12" s="54" t="inlineStr">
        <is>
          <t>Club OS / Organizer Tools</t>
        </is>
      </c>
      <c r="C12" s="55" t="inlineStr">
        <is>
          <t>Для організаторів клубів</t>
        </is>
      </c>
      <c r="D12" s="56" t="n">
        <v>5</v>
      </c>
      <c r="E12" s="56" t="n">
        <v>3</v>
      </c>
      <c r="F12" s="56" t="inlineStr">
        <is>
          <t>Так</t>
        </is>
      </c>
      <c r="G12" s="56" t="n">
        <v>3</v>
      </c>
      <c r="H12" s="56" t="n">
        <v>3</v>
      </c>
      <c r="I12" s="56" t="n">
        <v>4</v>
      </c>
      <c r="J12" s="56" t="n">
        <v>3</v>
      </c>
      <c r="K12" s="56" t="n">
        <v>2</v>
      </c>
      <c r="L12" s="57" t="n">
        <v>4</v>
      </c>
      <c r="M12" s="58" t="inlineStr">
        <is>
          <t>Codex 3.95 — клуби у 2025 квадрупнули, hiking клуби +5.8x. Монетизація слабша (club subs), але fit найкращий. Конкуренти: WhatsApp, Spond.</t>
        </is>
      </c>
      <c r="N12" s="51" t="inlineStr">
        <is>
          <t>Community/Team Ops: 16.5M DL / $4.7M Rev · YoY DL ~flat.
GroupMe 10.0M DL / $0 · Spond 2.4M DL / $0 · TeamSnap 1.6M DL / $3.8M · Heja 0.8M / $0.9M
→ Utility-layer, без вибухового зростання. Не flagship.</t>
        </is>
      </c>
      <c r="O12" s="69" t="inlineStr">
        <is>
          <t>Spond · TeamSnap · BAND · Heja · SportsEngine · LeagueApps</t>
        </is>
      </c>
      <c r="P12" s="72" t="inlineStr">
        <is>
          <t>Деяких апок не знайшов — можливо web-based, пошукайте. Багато скачувань і не у всіх є ревеню. GroupMe здається сюди не підходить.</t>
        </is>
      </c>
      <c r="Q12" s="118" t="inlineStr">
        <is>
          <t>Market: Flat
Demand: Stable
Fit: Strong
$: Utility-rev
Proto: Easy
Evidence: Partial
🚫 DEPRIORITIZE — utility-layer, не expansion</t>
        </is>
      </c>
    </row>
    <row r="13" ht="150" customHeight="1" s="23">
      <c r="A13" s="59" t="inlineStr">
        <is>
          <t>9 🟡</t>
        </is>
      </c>
      <c r="B13" s="54" t="inlineStr">
        <is>
          <t>Strava Courts / Social Sports</t>
        </is>
      </c>
      <c r="C13" s="55" t="inlineStr">
        <is>
          <t>Для гравців у padel, tennis, pickleball</t>
        </is>
      </c>
      <c r="D13" s="56" t="n">
        <v>3</v>
      </c>
      <c r="E13" s="56" t="n">
        <v>4</v>
      </c>
      <c r="F13" s="56" t="inlineStr">
        <is>
          <t>Частково</t>
        </is>
      </c>
      <c r="G13" s="56" t="n">
        <v>4</v>
      </c>
      <c r="H13" s="56" t="n">
        <v>3</v>
      </c>
      <c r="I13" s="56" t="n">
        <v>3</v>
      </c>
      <c r="J13" s="56" t="n">
        <v>2</v>
      </c>
      <c r="K13" s="56" t="n">
        <v>3</v>
      </c>
      <c r="L13" s="60" t="n">
        <v>3</v>
      </c>
      <c r="M13" s="58" t="inlineStr">
        <is>
          <t>Strava додала Padel/Volleyball/Basketball у лютому 2026. Playtomic — сильний конкурент. Ризик розмиття endurance-брендy. Gemini 20/25 (differentiated twist).</t>
        </is>
      </c>
      <c r="N13" s="51" t="inlineStr">
        <is>
          <t>Social Sports/Courts: 4.4M DL / $2.9M Rev · YoY DL +22% (після +40%).
Playtomic 3.4M DL / $2.8M (домінує) · CourtReserve 0.5M / $0 · Pickleheads 0.2M / $0.04M
→ Мала категорія, але найшвидше зростає. Timely non-obvious bet.</t>
        </is>
      </c>
      <c r="O13" s="69" t="inlineStr">
        <is>
          <t>Playtomic · MATCHi · CourtReserve · Pickleheads · PlayYourCourt · OpenSports</t>
        </is>
      </c>
      <c r="P13" s="72" t="inlineStr">
        <is>
          <t>(без коментарів)</t>
        </is>
      </c>
      <c r="Q13" s="69" t="inlineStr">
        <is>
          <t>Market: Small+fastest
Demand: Clear (Playtomic)
Fit: Medium (Strava запустив Feb'26)
$: Booking+ecosystem
Proto: Easy
Evidence: Strong
🟡 CONSIDER — найкращий «non-obvious» swap на #3</t>
        </is>
      </c>
    </row>
    <row r="14" ht="150" customHeight="1" s="23">
      <c r="A14" s="59" t="inlineStr">
        <is>
          <t>10 🟡</t>
        </is>
      </c>
      <c r="B14" s="54" t="inlineStr">
        <is>
          <t>AI Strength Form Coach</t>
        </is>
      </c>
      <c r="C14" s="55" t="inlineStr">
        <is>
          <t>Для тих, хто тренується з вагою</t>
        </is>
      </c>
      <c r="D14" s="56" t="n">
        <v>3</v>
      </c>
      <c r="E14" s="56" t="n">
        <v>4</v>
      </c>
      <c r="F14" s="56" t="inlineStr">
        <is>
          <t>Частково</t>
        </is>
      </c>
      <c r="G14" s="56" t="n">
        <v>4</v>
      </c>
      <c r="H14" s="56" t="n">
        <v>5</v>
      </c>
      <c r="I14" s="56" t="n">
        <v>2</v>
      </c>
      <c r="J14" s="56" t="n">
        <v>2</v>
      </c>
      <c r="K14" s="56" t="n">
        <v>3</v>
      </c>
      <c r="L14" s="60" t="n">
        <v>3</v>
      </c>
      <c r="M14" s="58" t="inlineStr">
        <is>
          <t>MapMyRun+UA HOVR валідує попит на biomechanics. Codex 3.70 (Form Insights). Потрібен computer vision/ML — важко. Конкуренти: Tonal, Apple Fitness+.</t>
        </is>
      </c>
      <c r="N14" s="51" t="inlineStr">
        <is>
          <t>Немає прямого кластера у датасеті.
Адʼяцентно: Fitbod, JEFIT, Strong — low app-store revenue vs endurance.
Tonal $$$ поза сторі (hardware). → weak data-backed case.</t>
        </is>
      </c>
      <c r="O14" s="69" t="inlineStr">
        <is>
          <t>Tonal · Future · Fitbod · Peloton Guide · JEFIT · Strong</t>
        </is>
      </c>
      <c r="P14" s="72" t="inlineStr">
        <is>
          <t>Частину цих апок вже вигрузив.</t>
        </is>
      </c>
      <c r="Q14" s="119" t="inlineStr">
        <is>
          <t>Market: Medium
Demand: Partial
Fit: Weak (endurance DNA)
$: Unclear
Proto: Hard (CV/ML)
Evidence: Weak
🚫 KILL — weak fit, важкий прототип</t>
        </is>
      </c>
    </row>
    <row r="15" ht="150" customHeight="1" s="23">
      <c r="A15" s="59" t="inlineStr">
        <is>
          <t>11 🟡</t>
        </is>
      </c>
      <c r="B15" s="54" t="inlineStr">
        <is>
          <t>Return-to-Activity / Pre-Hab</t>
        </is>
      </c>
      <c r="C15" s="55" t="inlineStr">
        <is>
          <t>Для тих, хто повертається після травм</t>
        </is>
      </c>
      <c r="D15" s="56" t="n">
        <v>4</v>
      </c>
      <c r="E15" s="56" t="n">
        <v>4</v>
      </c>
      <c r="F15" s="56" t="inlineStr">
        <is>
          <t>Так</t>
        </is>
      </c>
      <c r="G15" s="56" t="n">
        <v>3</v>
      </c>
      <c r="H15" s="56" t="n">
        <v>4</v>
      </c>
      <c r="I15" s="56" t="n">
        <v>2</v>
      </c>
      <c r="J15" s="56" t="n">
        <v>3</v>
      </c>
      <c r="K15" s="56" t="n">
        <v>2</v>
      </c>
      <c r="L15" s="60" t="n">
        <v>3</v>
      </c>
      <c r="M15" s="58" t="inlineStr">
        <is>
          <t>&gt;50% раннерів мають injury щороку. Strava має mechanical load history. Gemini H8 17/25, Codex 3.55. Ризик: медичні клейми + регуляції. Competitors: GOWOD, Recover Athletics.</t>
        </is>
      </c>
      <c r="N15" s="51" t="inlineStr">
        <is>
          <t>Coaching-adjacent: Runna $56M · GOWOD 0.31M DL / $4.4M · Recover Athletics 0.02M / $0.1M.
→ Часткова валідація через mobility/recovery add-ons. Не standalone signal.</t>
        </is>
      </c>
      <c r="O15" s="69" t="inlineStr">
        <is>
          <t>GOWOD · Recover Athletics · Hyperice · Runna · Physitrack · MyPhysioApp</t>
        </is>
      </c>
      <c r="P15" s="72" t="inlineStr">
        <is>
          <t>(без коментарів)</t>
        </is>
      </c>
      <c r="Q15" s="118" t="inlineStr">
        <is>
          <t>Market: Medium
Demand: Clear (injury rate)
Fit: Strong
$: Partial (regul.)
Proto: Hard (medical)
Evidence: Partial
⚠️ DEPRIORITIZE — good fit, але regulatory ризики</t>
        </is>
      </c>
    </row>
    <row r="16" ht="150" customHeight="1" s="23">
      <c r="A16" s="59" t="inlineStr">
        <is>
          <t>12 🟡</t>
        </is>
      </c>
      <c r="B16" s="54" t="inlineStr">
        <is>
          <t>Outdoor Group Safety / Beacon+</t>
        </is>
      </c>
      <c r="C16" s="55" t="inlineStr">
        <is>
          <t>Для груп на природі</t>
        </is>
      </c>
      <c r="D16" s="56" t="n">
        <v>5</v>
      </c>
      <c r="E16" s="56" t="n">
        <v>3</v>
      </c>
      <c r="F16" s="56" t="inlineStr">
        <is>
          <t>Частково</t>
        </is>
      </c>
      <c r="G16" s="56" t="n">
        <v>3</v>
      </c>
      <c r="H16" s="56" t="n">
        <v>3</v>
      </c>
      <c r="I16" s="56" t="n">
        <v>3</v>
      </c>
      <c r="J16" s="56" t="n">
        <v>4</v>
      </c>
      <c r="K16" s="56" t="n">
        <v>2</v>
      </c>
      <c r="L16" s="60" t="n">
        <v>3</v>
      </c>
      <c r="M16" s="58" t="inlineStr">
        <is>
          <t>Beacon вже існує. Perplexity 3.95 (5/5 fit+wow). Weak direct competitors (Garmin inReach — hardware). Страховочний use-case + groups = high wow.
→ Лектор: перевірити дублювання з Active Travel (hiking + gear).</t>
        </is>
      </c>
      <c r="N16" s="51" t="inlineStr">
        <is>
          <t>Немає кластерних даних. Garmin inReach — hardware-led, не в app-store Rev.
Life360 (adjacent) — сімейна ніша. → низька external валідація.</t>
        </is>
      </c>
      <c r="O16" s="69" t="inlineStr">
        <is>
          <t>Garmin inReach · SPOT Gen4 · Noonlight · bSafe · Cairn (AllTrails+) · What3Words</t>
        </is>
      </c>
      <c r="P16" s="72" t="inlineStr">
        <is>
          <t>Щось таке вже було з хайкінгом і гіром — перевірити дублювання з Active Travel.</t>
        </is>
      </c>
      <c r="Q16" s="118" t="inlineStr">
        <is>
          <t>Market: Medium
Demand: Partial
Fit: Strong (Beacon є)
$: Weak
Proto: Medium
Evidence: Weak
🚫 DEPRIORITIZE — дублюється з Active Travel (лектор)</t>
        </is>
      </c>
    </row>
    <row r="17" ht="150" customHeight="1" s="23">
      <c r="A17" s="59" t="inlineStr">
        <is>
          <t>13 🟡</t>
        </is>
      </c>
      <c r="B17" s="54" t="inlineStr">
        <is>
          <t>Guided Audio / Adaptive Beginner Coach</t>
        </is>
      </c>
      <c r="C17" s="55" t="inlineStr">
        <is>
          <t>Для новачків</t>
        </is>
      </c>
      <c r="D17" s="56" t="n">
        <v>4</v>
      </c>
      <c r="E17" s="56" t="n">
        <v>3</v>
      </c>
      <c r="F17" s="56" t="inlineStr">
        <is>
          <t>Частково</t>
        </is>
      </c>
      <c r="G17" s="56" t="n">
        <v>3</v>
      </c>
      <c r="H17" s="56" t="n">
        <v>3</v>
      </c>
      <c r="I17" s="56" t="n">
        <v>4</v>
      </c>
      <c r="J17" s="56" t="n">
        <v>2</v>
      </c>
      <c r="K17" s="56" t="n">
        <v>2</v>
      </c>
      <c r="L17" s="60" t="n">
        <v>3</v>
      </c>
      <c r="M17" s="58" t="inlineStr">
        <is>
          <t>NRC validates попит, але NRC безкоштовний (DTC-маркетинг Nike). Runkeeper Go підтверджує willingness to pay за outcomes. Strava leans competitive — conflict з beginners.
→ Лектор: це прямі конкуренти Strava, а не adjacency.</t>
        </is>
      </c>
      <c r="N17" s="51" t="inlineStr">
        <is>
          <t>Coaching-adjacent. Runna $56M підтверджує guided/plan WTP.
NRC безкоштовний (Nike DTC); Runkeeper Go — paid tier.
→ Сигнал є, але через Coach-кластер.</t>
        </is>
      </c>
      <c r="O17" s="69" t="inlineStr">
        <is>
          <t>Nike Run Club (free) · Runkeeper Go · C25K · adidas Running · Aaptiv · Peloton Outdoor</t>
        </is>
      </c>
      <c r="P17" s="72" t="inlineStr">
        <is>
          <t>Це просто около-прямі конкуренти Strava (NRC, Runkeeper).</t>
        </is>
      </c>
      <c r="Q17" s="119" t="inlineStr">
        <is>
          <t>Market: Medium
Demand: Clear (NRC)
Fit: Конфлікт з endurance
$: Consumer sub
Proto: Easy
Evidence: Partial
🚫 KILL — прямі конкуренти (лектор), weak fit</t>
        </is>
      </c>
    </row>
    <row r="18" ht="150" customHeight="1" s="23">
      <c r="A18" s="59" t="inlineStr">
        <is>
          <t>14 🟡</t>
        </is>
      </c>
      <c r="B18" s="54" t="inlineStr">
        <is>
          <t>University Communities</t>
        </is>
      </c>
      <c r="C18" s="55" t="inlineStr">
        <is>
          <t>Для студентських спільнот</t>
        </is>
      </c>
      <c r="D18" s="56" t="n">
        <v>4</v>
      </c>
      <c r="E18" s="56" t="n">
        <v>3</v>
      </c>
      <c r="F18" s="56" t="inlineStr">
        <is>
          <t>Частково</t>
        </is>
      </c>
      <c r="G18" s="56" t="n">
        <v>3</v>
      </c>
      <c r="H18" s="56" t="n">
        <v>3</v>
      </c>
      <c r="I18" s="56" t="n">
        <v>4</v>
      </c>
      <c r="J18" s="56" t="n">
        <v>4</v>
      </c>
      <c r="K18" s="56" t="n">
        <v>2</v>
      </c>
      <c r="L18" s="60" t="n">
        <v>3</v>
      </c>
      <c r="M18" s="58" t="inlineStr">
        <is>
          <t>Gen Z — найшвидша когорта у Strava (Trend Report 2025). Прямих конкурентів немає. Codex 3.40, Perplexity 4.05 — сильний activation, слабша монетизація.
→ Лектор: у студентів грошей нема — weak monetization.</t>
        </is>
      </c>
      <c r="N18" s="51" t="inlineStr">
        <is>
          <t>Community кластер не показує campus-specific apps у топ.
→ Даних майже нема. Покладатись на Strava Trend Report (Gen Z — найшвидша когорта).</t>
        </is>
      </c>
      <c r="O18" s="69" t="inlineStr">
        <is>
          <t>Corq · Campus Labs · Engage · IMLeagues · CollegiateLink · Gipper</t>
        </is>
      </c>
      <c r="P18" s="72" t="inlineStr">
        <is>
          <t>Нема грошей у студентів.</t>
        </is>
      </c>
      <c r="Q18" s="119" t="inlineStr">
        <is>
          <t>Market: Medium
Demand: Partial
Fit: Medium
$: Weak (no $ у студентів)
Proto: Medium
Evidence: Weak
🚫 KILL — нема монетизації (лектор)</t>
        </is>
      </c>
    </row>
    <row r="19" ht="150" customHeight="1" s="23">
      <c r="A19" s="59" t="inlineStr">
        <is>
          <t>15 🟡</t>
        </is>
      </c>
      <c r="B19" s="54" t="inlineStr">
        <is>
          <t>Family Movement</t>
        </is>
      </c>
      <c r="C19" s="55" t="inlineStr">
        <is>
          <t>Для сімей</t>
        </is>
      </c>
      <c r="D19" s="56" t="n">
        <v>3</v>
      </c>
      <c r="E19" s="56" t="n">
        <v>3</v>
      </c>
      <c r="F19" s="56" t="inlineStr">
        <is>
          <t>Частково</t>
        </is>
      </c>
      <c r="G19" s="56" t="n">
        <v>3</v>
      </c>
      <c r="H19" s="56" t="n">
        <v>3</v>
      </c>
      <c r="I19" s="56" t="n">
        <v>3</v>
      </c>
      <c r="J19" s="56" t="n">
        <v>4</v>
      </c>
      <c r="K19" s="56" t="n">
        <v>2</v>
      </c>
      <c r="L19" s="60" t="n">
        <v>3</v>
      </c>
      <c r="M19" s="58" t="inlineStr">
        <is>
          <t>Strava вже має family plan. Codex 3.15 — weak right-to-win. Perplexity 3.80. Конкуренти слабкі, але монетизація soft (family sub). COPPA складності.
→ Лектор: це monetization extension, а не окрема вертикаль.</t>
        </is>
      </c>
      <c r="N19" s="51" t="inlineStr">
        <is>
          <t>Life360 — adjacent, не у наших CSV. Community кластер flat.
→ Валідація слабка. Internal Strava family-plan adoption краще.</t>
        </is>
      </c>
      <c r="O19" s="69" t="inlineStr">
        <is>
          <t>Life360 · Cozi Family · Goosechase · FamiSafe · Peloton Family · Apple Family</t>
        </is>
      </c>
      <c r="P19" s="72" t="inlineStr">
        <is>
          <t>Тут треба по відкритих даних / індастрі-репортах дивитися скільки грошей потенційно дає family-plan — але це скоріше розширення монетизації, а не окрема вертикаль (можу помилятися).</t>
        </is>
      </c>
      <c r="Q19" s="119" t="inlineStr">
        <is>
          <t>Market: Medium
Demand: Partial
Fit: Medium
$: Soft sub
Proto: Easy
Evidence: Weak
🚫 KILL — monetization extension, не expansion (Avoid 4)</t>
        </is>
      </c>
    </row>
    <row r="20" ht="150" customHeight="1" s="23">
      <c r="A20" s="59" t="inlineStr">
        <is>
          <t>16 🟡</t>
        </is>
      </c>
      <c r="B20" s="54" t="inlineStr">
        <is>
          <t>Adaptive / Inclusive Fitness</t>
        </is>
      </c>
      <c r="C20" s="55" t="inlineStr">
        <is>
          <t>Для людей з інвалідністю та інклюзивних спільнот</t>
        </is>
      </c>
      <c r="D20" s="56" t="n">
        <v>3</v>
      </c>
      <c r="E20" s="56" t="n">
        <v>2</v>
      </c>
      <c r="F20" s="56" t="inlineStr">
        <is>
          <t>Частково</t>
        </is>
      </c>
      <c r="G20" s="56" t="n">
        <v>2</v>
      </c>
      <c r="H20" s="56" t="n">
        <v>4</v>
      </c>
      <c r="I20" s="56" t="n">
        <v>3</v>
      </c>
      <c r="J20" s="56" t="n">
        <v>4</v>
      </c>
      <c r="K20" s="56" t="n">
        <v>1</v>
      </c>
      <c r="L20" s="60" t="n">
        <v>3</v>
      </c>
      <c r="M20" s="58" t="inlineStr">
        <is>
          <t>Не покрито дослідженнями. Niche, але boostить brand goodwill. Низька монетизація, висока складність доступу (a11y guidelines).
→ Лектор: малий ринок.</t>
        </is>
      </c>
      <c r="N20" s="51" t="inlineStr">
        <is>
          <t>❌ Немає даних у датасеті (niche).
Single known: Move United community — не scale-apps.
→ Brand play, не business case через цифри.</t>
        </is>
      </c>
      <c r="O20" s="69" t="inlineStr">
        <is>
          <t>Move United · GRIT Freedom Chair apps · Adaptive YouTube · limited direct competitors</t>
        </is>
      </c>
      <c r="P20" s="72" t="inlineStr">
        <is>
          <t>Малий ринок.</t>
        </is>
      </c>
      <c r="Q20" s="119" t="inlineStr">
        <is>
          <t>Market: Small
Demand: Weak
Fit: Brand goodwill
$: Weak
Proto: Medium
Evidence: Weak
🚫 KILL — малий ринок (лектор)</t>
        </is>
      </c>
    </row>
    <row r="21" ht="150" customHeight="1" s="23">
      <c r="A21" s="61" t="inlineStr">
        <is>
          <t>17 🔴</t>
        </is>
      </c>
      <c r="B21" s="54" t="inlineStr">
        <is>
          <t>Health-Insurance Subsidy / Proprietary Hardware</t>
        </is>
      </c>
      <c r="C21" s="55" t="inlineStr">
        <is>
          <t>Для виходу в страхування або власні девайси</t>
        </is>
      </c>
      <c r="D21" s="56" t="n">
        <v>2</v>
      </c>
      <c r="E21" s="56" t="n">
        <v>5</v>
      </c>
      <c r="F21" s="56" t="inlineStr">
        <is>
          <t>Частково</t>
        </is>
      </c>
      <c r="G21" s="56" t="n">
        <v>4</v>
      </c>
      <c r="H21" s="56" t="n">
        <v>5</v>
      </c>
      <c r="I21" s="56" t="n">
        <v>1</v>
      </c>
      <c r="J21" s="56" t="n">
        <v>3</v>
      </c>
      <c r="K21" s="56" t="n">
        <v>4</v>
      </c>
      <c r="L21" s="60" t="n">
        <v>2</v>
      </c>
      <c r="M21" s="58" t="inlineStr">
        <is>
          <t>Gemini H12 19/25 (insurance), H15 12/25 (hardware). Величезний TAM, але регуляторика + privacy концерни. Dilutes soft-agnostic positioning Strava.
→ Лектор: на tier-1 insurance вже має базове fitness-покриття.</t>
        </is>
      </c>
      <c r="N21" s="51" t="inlineStr">
        <is>
          <t>Recovery cluster показує hardware-led logic (Oura/WHOOP $0 in-app).
Insurance: Vitality Health $$$ B2B2C — поза app-store.
→ Великий TAM, але за межами цього датасету.</t>
        </is>
      </c>
      <c r="O21" s="69" t="inlineStr">
        <is>
          <t>Vitality Health · Dacadoo · Sharecare · UnitedHealthcare Motion · John Hancock Vitality</t>
        </is>
      </c>
      <c r="P21" s="72" t="inlineStr">
        <is>
          <t>Обговорили: на tier-1 ринках страхування і так є базове fitness-перекриття (Apple Fitness+, Vitality).</t>
        </is>
      </c>
      <c r="Q21" s="119" t="inlineStr">
        <is>
          <t>Market: Huge
Demand: Partial
Fit: Weak (dilutes DNA)
$: B2B2C complex
Proto: Hard (reg)
Evidence: Weak
🚫 KILL — tier-1 уже має (лектор), weak fit</t>
        </is>
      </c>
    </row>
    <row r="22" ht="150" customHeight="1" s="23">
      <c r="A22" s="61" t="inlineStr">
        <is>
          <t>18 🔴</t>
        </is>
      </c>
      <c r="B22" s="54" t="inlineStr">
        <is>
          <t>Fitness Dating</t>
        </is>
      </c>
      <c r="C22" s="55" t="inlineStr">
        <is>
          <t>Знайомства через активний спосіб життя</t>
        </is>
      </c>
      <c r="D22" s="56" t="n">
        <v>2</v>
      </c>
      <c r="E22" s="56" t="n">
        <v>4</v>
      </c>
      <c r="F22" s="56" t="inlineStr">
        <is>
          <t>Так</t>
        </is>
      </c>
      <c r="G22" s="56" t="n">
        <v>4</v>
      </c>
      <c r="H22" s="56" t="n">
        <v>3</v>
      </c>
      <c r="I22" s="56" t="n">
        <v>4</v>
      </c>
      <c r="J22" s="56" t="n">
        <v>2</v>
      </c>
      <c r="K22" s="56" t="n">
        <v>5</v>
      </c>
      <c r="L22" s="60" t="n">
        <v>2</v>
      </c>
      <c r="M22" s="58" t="inlineStr">
        <is>
          <t>64% Gen Z воліють гроші на gear, а не на побачення. ChatGPT 4.2 (5 wow), Gemini H6 20/25. Величезний risk to core: privacy, stalking, alienation серйозних атлетів.</t>
        </is>
      </c>
      <c r="N22" s="51" t="inlineStr">
        <is>
          <t>Немає категорії. Bumble fitness mode — feature, не окремий app.
→ Нуль підтвердження масштабного demand.</t>
        </is>
      </c>
      <c r="O22" s="69" t="inlineStr">
        <is>
          <t>Bumble (fitness mode) · Datefit · Fitafy · SweatUp · Hinge · OkCupid</t>
        </is>
      </c>
      <c r="P22" s="72" t="inlineStr">
        <is>
          <t>Дейтинг звісно великий ринок — питання релевантності задачі, потенційної конверсії й залученості в dating-складову.</t>
        </is>
      </c>
      <c r="Q22" s="119" t="inlineStr">
        <is>
          <t>Market: Large (dating)
Demand: Partial
Fit: Weak (high risk to core)
$: Clear (dating sub)
Proto: Medium
Evidence: Weak
🚫 KILL — високий ризик для core (лектор: relevance?)</t>
        </is>
      </c>
    </row>
    <row r="23" ht="150" customHeight="1" s="23">
      <c r="A23" s="53" t="inlineStr">
        <is>
          <t>19 🟢</t>
        </is>
      </c>
      <c r="B23" s="54" t="inlineStr">
        <is>
          <t>Nutrition / Meal Planning</t>
        </is>
      </c>
      <c r="C23" s="55" t="inlineStr">
        <is>
          <t>Для тих, хто хоче поєднати тренування і харчування</t>
        </is>
      </c>
      <c r="D23" s="56" t="n">
        <v>2</v>
      </c>
      <c r="E23" s="56" t="n">
        <v>4</v>
      </c>
      <c r="F23" s="56" t="inlineStr">
        <is>
          <t>Частково</t>
        </is>
      </c>
      <c r="G23" s="56" t="n">
        <v>3</v>
      </c>
      <c r="H23" s="56" t="n">
        <v>4</v>
      </c>
      <c r="I23" s="56" t="n">
        <v>2</v>
      </c>
      <c r="J23" s="56" t="n">
        <v>1</v>
      </c>
      <c r="K23" s="56" t="n">
        <v>3</v>
      </c>
      <c r="L23" s="60" t="n">
        <v>2</v>
      </c>
      <c r="M23" s="58" t="inlineStr">
        <is>
          <t>Тільки Gemini згадує (H10, 16/25). Weak fit з endurance-брендом; MyFitnessPal/Yazio/Noom домінують. Розмиває ідентичність.</t>
        </is>
      </c>
      <c r="N23" s="51" t="inlineStr">
        <is>
          <t>Не у наших кластерах. Noom $3.7B valuation / MyFitnessPal — поза фокусом датасету.
→ Дуже crowded категорія, weak fit для Strava DNA.</t>
        </is>
      </c>
      <c r="O23" s="69" t="inlineStr">
        <is>
          <t>MyFitnessPal · Noom · Yazio · Lifesum · MacroFactor · Zoe</t>
        </is>
      </c>
      <c r="P23" s="72" t="inlineStr">
        <is>
          <t>(без коментарів)</t>
        </is>
      </c>
      <c r="Q23" s="119" t="inlineStr">
        <is>
          <t>Market: Large
Demand: Clear
Fit: Weak (dilutes)
$: Crowded (Noom/MFP)
Proto: Medium
Evidence: Negative
🚫 KILL — weak fit + crowded</t>
        </is>
      </c>
    </row>
    <row r="24" ht="150" customHeight="1" s="23">
      <c r="A24" s="61" t="inlineStr">
        <is>
          <t>20 🔴</t>
        </is>
      </c>
      <c r="B24" s="54" t="inlineStr">
        <is>
          <t>Gear Recommerce</t>
        </is>
      </c>
      <c r="C24" s="55" t="inlineStr">
        <is>
          <t>Для перепродажу спорядження</t>
        </is>
      </c>
      <c r="D24" s="56" t="n">
        <v>3</v>
      </c>
      <c r="E24" s="56" t="n">
        <v>3</v>
      </c>
      <c r="F24" s="56" t="inlineStr">
        <is>
          <t>Так</t>
        </is>
      </c>
      <c r="G24" s="56" t="n">
        <v>3</v>
      </c>
      <c r="H24" s="56" t="n">
        <v>4</v>
      </c>
      <c r="I24" s="56" t="n">
        <v>2</v>
      </c>
      <c r="J24" s="56" t="n">
        <v>3</v>
      </c>
      <c r="K24" s="56" t="n">
        <v>3</v>
      </c>
      <c r="L24" s="60" t="n">
        <v>2</v>
      </c>
      <c r="M24" s="58" t="inlineStr">
        <is>
          <t>Gemini H14 15/25. Не суперечить DNA, але операційно складно (логістика, fraud, повернення). Конкуренти: Pro's Closet, eBay, Facebook Marketplace.
→ Лектор: дивитись search volume на б/у, не на чинних конкурентів.</t>
        </is>
      </c>
      <c r="N24" s="51" t="inlineStr">
        <is>
          <t>Немає у датасеті. Pro's Closet, BuyCycle — nascent, поза top-apps.
→ Operational-heavy, data-thin.</t>
        </is>
      </c>
      <c r="O24" s="69" t="inlineStr">
        <is>
          <t>The Pro's Closet · Rebike · BuyCycle · eBay · Facebook Marketplace · Depop</t>
        </is>
      </c>
      <c r="P24" s="72" t="inlineStr">
        <is>
          <t>Не дуже релевантні конкуренти обрані — я би дивився по кількості запитів на б/у речі (keyword volume).</t>
        </is>
      </c>
      <c r="Q24" s="118" t="inlineStr">
        <is>
          <t>Market: Medium
Demand: Unknown (лектор: check)
Fit: Partial
$: Marketplace ops-heavy
Proto: Hard
Evidence: Thin
🚫 DEPRIORITIZE — operational complexity переважує</t>
        </is>
      </c>
    </row>
    <row r="25" ht="150" customHeight="1" s="23">
      <c r="A25" s="61" t="inlineStr">
        <is>
          <t>21 🔴</t>
        </is>
      </c>
      <c r="B25" s="54" t="inlineStr">
        <is>
          <t>Youth Sports Logistics</t>
        </is>
      </c>
      <c r="C25" s="55" t="inlineStr">
        <is>
          <t>Для дитячих та юнацьких команд</t>
        </is>
      </c>
      <c r="D25" s="56" t="n">
        <v>1</v>
      </c>
      <c r="E25" s="56" t="n">
        <v>3</v>
      </c>
      <c r="F25" s="56" t="inlineStr">
        <is>
          <t>Ні</t>
        </is>
      </c>
      <c r="G25" s="56" t="n">
        <v>3</v>
      </c>
      <c r="H25" s="56" t="n">
        <v>4</v>
      </c>
      <c r="I25" s="56" t="n">
        <v>2</v>
      </c>
      <c r="J25" s="56" t="n">
        <v>2</v>
      </c>
      <c r="K25" s="56" t="n">
        <v>4</v>
      </c>
      <c r="L25" s="60" t="n">
        <v>2</v>
      </c>
      <c r="M25" s="58" t="inlineStr">
        <is>
          <t>Gemini H9 — найслабший fit (1/5). TeamSnap/GameChanger/Spond домінують. COPPA compliance, parent-child hierarchies, розмиває premium athletic brand.
→ Лектор: скіпати — мало грошей.</t>
        </is>
      </c>
      <c r="N25" s="51" t="inlineStr">
        <is>
          <t>Community кластер: TeamSnap 1.6M DL / $3.8M · GameChanger (Dick's) — поза датасетом.
→ Entrenched incumbents, малий relative market.</t>
        </is>
      </c>
      <c r="O25" s="69" t="inlineStr">
        <is>
          <t>TeamSnap · GameChanger · Spond · SportsEngine · LeagueApps · Heja</t>
        </is>
      </c>
      <c r="P25" s="72" t="inlineStr">
        <is>
          <t>Я би скіпав — виглядає як мало грошей.</t>
        </is>
      </c>
      <c r="Q25" s="119" t="inlineStr">
        <is>
          <t>Market: Small $
Demand: Stable
Fit: Weak
$: Weak (TeamSnap entrenched)
Proto: Medium
Evidence: Negative
🚫 KILL — скіп (лектор)</t>
        </is>
      </c>
    </row>
    <row r="26" ht="150" customHeight="1" s="23">
      <c r="A26" s="59" t="inlineStr">
        <is>
          <t>22 🟡</t>
        </is>
      </c>
      <c r="B26" s="54" t="inlineStr">
        <is>
          <t>Strava Paws / Dog-Friendly Activities</t>
        </is>
      </c>
      <c r="C26" s="55" t="inlineStr">
        <is>
          <t>Для власників собак, які тренуються разом з улюбленцем</t>
        </is>
      </c>
      <c r="D26" s="56" t="n">
        <v>2</v>
      </c>
      <c r="E26" s="56" t="n">
        <v>3</v>
      </c>
      <c r="F26" s="56" t="inlineStr">
        <is>
          <t>Частково</t>
        </is>
      </c>
      <c r="G26" s="56" t="n">
        <v>2</v>
      </c>
      <c r="H26" s="56" t="n">
        <v>2</v>
      </c>
      <c r="I26" s="56" t="n">
        <v>4</v>
      </c>
      <c r="J26" s="56" t="n">
        <v>4</v>
      </c>
      <c r="K26" s="56" t="n">
        <v>2</v>
      </c>
      <c r="L26" s="60" t="n">
        <v>2</v>
      </c>
      <c r="M26" s="58" t="inlineStr">
        <is>
          <t>Не покрито дослідженнями. Fun feature, small niche. Не вписується в endurance/athletic DNA. Легко прототипувати, важко монетизувати.
→ Лектор: оцінити % бігунів з собаками (поведінковий estimate).</t>
        </is>
      </c>
      <c r="N26" s="51" t="inlineStr">
        <is>
          <t>❌ Нуль scale-apps у «dog-fitness» у датасеті.
Wag/Rover — walking services, не fitness.
→ Negative-signal підтверджує низький TAM.</t>
        </is>
      </c>
      <c r="O26" s="69" t="inlineStr">
        <is>
          <t>Wag · Rover · Sniffspot · Dogo · Pupford · (limited direct)</t>
        </is>
      </c>
      <c r="P26" s="72" t="inlineStr">
        <is>
          <t>Треба якось оцінити який % бігунів мають тварин (думаю собак) і який % потенційно з ними бігає.</t>
        </is>
      </c>
      <c r="Q26" s="119" t="inlineStr">
        <is>
          <t>Market: Small niche
Demand: Weak
Fit: Weak (DNA mismatch)
$: Weak
Proto: Easy
Evidence: Negative
🚫 KILL — нуль scale-apps</t>
        </is>
      </c>
    </row>
    <row r="27" ht="150" customHeight="1" s="23">
      <c r="A27" s="61" t="inlineStr">
        <is>
          <t>23 🔴</t>
        </is>
      </c>
      <c r="B27" s="54" t="inlineStr">
        <is>
          <t>Strava Virtual / AR Training</t>
        </is>
      </c>
      <c r="C27" s="55" t="inlineStr">
        <is>
          <t>Для віртуального та AR-досвіду</t>
        </is>
      </c>
      <c r="D27" s="56" t="n">
        <v>2</v>
      </c>
      <c r="E27" s="56" t="n">
        <v>3</v>
      </c>
      <c r="F27" s="56" t="inlineStr">
        <is>
          <t>Частково</t>
        </is>
      </c>
      <c r="G27" s="56" t="n">
        <v>2</v>
      </c>
      <c r="H27" s="56" t="n">
        <v>5</v>
      </c>
      <c r="I27" s="56" t="n">
        <v>1</v>
      </c>
      <c r="J27" s="56" t="n">
        <v>1</v>
      </c>
      <c r="K27" s="56" t="n">
        <v>3</v>
      </c>
      <c r="L27" s="60" t="n">
        <v>2</v>
      </c>
      <c r="M27" s="58" t="inlineStr">
        <is>
          <t>Gemini H11 13/25, ChatGPT 3.6. Strava не має 3D-движка/фізики — Zwift, ROUVY, Rouvy домінують. Дуже складно зробити компелінг-прототип.
→ Лектор: скіп.</t>
        </is>
      </c>
      <c r="N27" s="51" t="inlineStr">
        <is>
          <t>Zwift (не у наших CSV) — домінує, $1B+ valuation, $450M funding.
→ Сильний incumbent, дуже висока складність входу.</t>
        </is>
      </c>
      <c r="O27" s="69" t="inlineStr">
        <is>
          <t>Zwift · ROUVY · TrainerRoad · Wahoo SYSTM · MyWhoosh · Peloton Digital</t>
        </is>
      </c>
      <c r="P27" s="72" t="inlineStr">
        <is>
          <t>Скіп.</t>
        </is>
      </c>
      <c r="Q27" s="119" t="inlineStr">
        <is>
          <t>Market: Medium (Zwift)
Demand: Partial
Fit: Weak (no 3D engine)
$: Clear but hard
Proto: Very hard
Evidence: Strong negative
🚫 KILL — скіп (лектор), Zwift дом.</t>
        </is>
      </c>
    </row>
    <row r="28" ht="22" customHeight="1" s="23">
      <c r="A28" s="62" t="n"/>
      <c r="B28" s="63" t="inlineStr">
        <is>
          <t>Середнє по всіх ідеях →</t>
        </is>
      </c>
      <c r="C28" s="62" t="n"/>
      <c r="D28" s="64">
        <f>IFERROR(AVERAGE(D5:D27),"")</f>
        <v/>
      </c>
      <c r="E28" s="64">
        <f>IFERROR(AVERAGE(E5:E27),"")</f>
        <v/>
      </c>
      <c r="F28" s="65">
        <f>COUNTIF(F5:F27,"Так")&amp;" Так / "&amp;COUNTIF(F5:F27,"Частково")&amp;" Частково / "&amp;COUNTIF(F5:F27,"Ні")&amp;" Ні"</f>
        <v/>
      </c>
      <c r="G28" s="64">
        <f>IFERROR(AVERAGE(G5:G27),"")</f>
        <v/>
      </c>
      <c r="H28" s="64">
        <f>IFERROR(AVERAGE(H5:H27),"")</f>
        <v/>
      </c>
      <c r="I28" s="64">
        <f>IFERROR(AVERAGE(I5:I27),"")</f>
        <v/>
      </c>
      <c r="J28" s="64">
        <f>IFERROR(AVERAGE(J5:J27),"")</f>
        <v/>
      </c>
      <c r="K28" s="64">
        <f>IFERROR(AVERAGE(K5:K27),"")</f>
        <v/>
      </c>
      <c r="L28" s="64">
        <f>IFERROR(AVERAGE(L5:L27),"")</f>
        <v/>
      </c>
      <c r="M28" s="70" t="n"/>
      <c r="N28" s="70" t="n"/>
      <c r="O28" s="70" t="n"/>
      <c r="P28" s="73" t="n"/>
      <c r="Q28" s="73" t="n"/>
    </row>
    <row r="29" s="23">
      <c r="A29" s="66" t="n"/>
      <c r="B29" s="66" t="n"/>
      <c r="C29" s="66" t="n"/>
      <c r="D29" s="66" t="n"/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6" t="n"/>
      <c r="O29" s="66" t="n"/>
    </row>
    <row r="30" s="23">
      <c r="A30" s="66" t="n"/>
      <c r="B30" s="66" t="n"/>
      <c r="C30" s="66" t="n"/>
      <c r="D30" s="67" t="n"/>
      <c r="E30" s="67" t="n"/>
      <c r="F30" s="67" t="n"/>
      <c r="G30" s="67" t="n"/>
      <c r="H30" s="67" t="n"/>
      <c r="I30" s="67" t="n"/>
      <c r="J30" s="67" t="n"/>
      <c r="K30" s="67" t="n"/>
      <c r="L30" s="67" t="n"/>
      <c r="M30" s="66" t="n"/>
      <c r="N30" s="66" t="n"/>
      <c r="O30" s="66" t="n"/>
    </row>
    <row r="31" s="23">
      <c r="A31" s="66" t="n"/>
      <c r="B31" s="66" t="n"/>
      <c r="C31" s="66" t="n"/>
      <c r="D31" s="66" t="n"/>
      <c r="E31" s="66" t="n"/>
      <c r="F31" s="66" t="n"/>
      <c r="G31" s="66" t="n"/>
      <c r="H31" s="66" t="n"/>
      <c r="I31" s="66" t="n"/>
      <c r="J31" s="66" t="n"/>
      <c r="K31" s="66" t="n"/>
      <c r="L31" s="66" t="n"/>
      <c r="M31" s="66" t="n"/>
      <c r="N31" s="66" t="n"/>
      <c r="O31" s="66" t="n"/>
    </row>
  </sheetData>
  <mergeCells count="3">
    <mergeCell ref="A4:O4"/>
    <mergeCell ref="A1:M1"/>
    <mergeCell ref="A2:M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007F7F7F"/>
    <outlinePr summaryBelow="1" summaryRight="1"/>
    <pageSetUpPr fitToPage="0"/>
  </sheetPr>
  <dimension ref="A1:A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22" min="1" max="1"/>
  </cols>
  <sheetData>
    <row r="1" ht="19.5" customHeight="1" s="23">
      <c r="A1" s="44" t="inlineStr">
        <is>
          <t>ЯК ПРОВОДИТИ БРЕЙНШТОРМОВУ СЕСІЮ</t>
        </is>
      </c>
    </row>
    <row r="2" ht="7.5" customHeight="1" s="23">
      <c r="A2" s="45" t="n"/>
    </row>
    <row r="3" ht="19.5" customHeight="1" s="23">
      <c r="A3" s="46" t="inlineStr">
        <is>
          <t>1. ПІДГОТОВКА (до сесії)</t>
        </is>
      </c>
    </row>
    <row r="4" ht="19.5" customHeight="1" s="23">
      <c r="A4" s="45" t="inlineStr">
        <is>
          <t>• Роздрукуйте або відкрийте таблицю на спільному екрані.</t>
        </is>
      </c>
    </row>
    <row r="5" ht="19.5" customHeight="1" s="23">
      <c r="A5" s="45" t="inlineStr">
        <is>
          <t>• Дайте кожному учаснику 3–5 «голосів» (стікерів або балів) для попереднього голосування.</t>
        </is>
      </c>
    </row>
    <row r="6" ht="19.5" customHeight="1" s="23">
      <c r="A6" s="45" t="inlineStr">
        <is>
          <t>• Призначте фасилітатора, який веде таблицю.</t>
        </is>
      </c>
    </row>
    <row r="7" ht="7.5" customHeight="1" s="23">
      <c r="A7" s="45" t="n"/>
    </row>
    <row r="8" ht="19.5" customHeight="1" s="23">
      <c r="A8" s="46" t="inlineStr">
        <is>
          <t>2. КРИТЕРІЇ ОЦІНКИ</t>
        </is>
      </c>
    </row>
    <row r="9" ht="19.5" customHeight="1" s="23">
      <c r="A9" s="47" t="inlineStr">
        <is>
          <t>Критерій</t>
        </is>
      </c>
    </row>
    <row r="10" ht="19.5" customHeight="1" s="23">
      <c r="A10" s="45" t="inlineStr">
        <is>
          <t>Стратегічна відповідність бренду (1–5)  |  Наскільки ідея вписується в образ Strava як «соціальної мережі для спортсменів»</t>
        </is>
      </c>
    </row>
    <row r="11" ht="19.5" customHeight="1" s="23">
      <c r="A11" s="45" t="inlineStr">
        <is>
          <t>Розмір аудиторії (1–5)  |  Скільки людей потенційно потребують цього рішення</t>
        </is>
      </c>
    </row>
    <row r="12" ht="19.5" customHeight="1" s="23">
      <c r="A12" s="45" t="inlineStr">
        <is>
          <t>Аудиторія вже в Strava?  |  Так / Частково / Ні — чи потрібно залучати нових користувачів</t>
        </is>
      </c>
    </row>
    <row r="13" ht="19.5" customHeight="1" s="23">
      <c r="A13" s="45" t="inlineStr">
        <is>
          <t>Монетизаційний потенціал (1–5)  |  Наскільки зрозуміла модель виручки і її обсяг</t>
        </is>
      </c>
    </row>
    <row r="14" ht="19.5" customHeight="1" s="23">
      <c r="A14" s="45" t="inlineStr">
        <is>
          <t>Складність реалізації (1=легко, 5=дуже складно)  |  Час і ресурси на розробку</t>
        </is>
      </c>
    </row>
    <row r="15" ht="19.5" customHeight="1" s="23">
      <c r="A15" s="45" t="inlineStr">
        <is>
          <t>Швидкість виходу на ринок (1=повільно, 5=швидко)  |  Наскільки швидко можна запустити MVP</t>
        </is>
      </c>
    </row>
    <row r="16" ht="19.5" customHeight="1" s="23">
      <c r="A16" s="45" t="inlineStr">
        <is>
          <t>Сила конкурентів (1=сильні, 5=слабкі)  |  Наскільки зайнята ніша</t>
        </is>
      </c>
    </row>
    <row r="17" ht="19.5" customHeight="1" s="23">
      <c r="A17" s="45" t="inlineStr">
        <is>
          <t>Ризик для core-продукту (1=низький, 5=високий)  |  Чи може ідея зашкодити бренду або відволікти команду</t>
        </is>
      </c>
    </row>
    <row r="18" ht="19.5" customHeight="1" s="23">
      <c r="A18" s="45" t="inlineStr">
        <is>
          <t>Загальна оцінка команди (1–5)  |  Інтегральна оцінка після обговорення</t>
        </is>
      </c>
    </row>
    <row r="19" ht="7.5" customHeight="1" s="23">
      <c r="A19" s="45" t="n"/>
    </row>
    <row r="20" ht="19.5" customHeight="1" s="23">
      <c r="A20" s="46" t="inlineStr">
        <is>
          <t>3. ФОРМАТ СЕСІЇ</t>
        </is>
      </c>
    </row>
    <row r="21" ht="19.5" customHeight="1" s="23">
      <c r="A21" s="45" t="inlineStr">
        <is>
          <t>• Крок 1 (5 хв): Кожен мовчки ставить оцінки індивідуально.</t>
        </is>
      </c>
    </row>
    <row r="22" ht="19.5" customHeight="1" s="23">
      <c r="A22" s="45" t="inlineStr">
        <is>
          <t>• Крок 2 (20 хв): Фасилітатор зачитує середні оцінки — команда обговорює розбіжності.</t>
        </is>
      </c>
    </row>
    <row r="23" ht="19.5" customHeight="1" s="23">
      <c r="A23" s="45" t="inlineStr">
        <is>
          <t>• Крок 3 (10 хв): Визначаємо топ-3 ідеї для детального опрацювання.</t>
        </is>
      </c>
    </row>
    <row r="24" ht="19.5" customHeight="1" s="23">
      <c r="A24" s="45" t="inlineStr">
        <is>
          <t>• Крок 4 (5 хв): Фіксуємо наступні кроки в колонці «Коментарі».</t>
        </is>
      </c>
    </row>
    <row r="25" ht="7.5" customHeight="1" s="23">
      <c r="A25" s="45" t="n"/>
    </row>
    <row r="26" ht="19.5" customHeight="1" s="23">
      <c r="A26" s="46" t="inlineStr">
        <is>
          <t>4. ПІДКАЗКА</t>
        </is>
      </c>
    </row>
    <row r="27" ht="19.5" customHeight="1" s="23">
      <c r="A27" s="45" t="inlineStr">
        <is>
          <t>Зверніть увагу на ідеї, де «Складність» висока (4–5), але «Монетизація» теж висока —</t>
        </is>
      </c>
    </row>
    <row r="28" ht="19.5" customHeight="1" s="23">
      <c r="A28" s="45" t="inlineStr">
        <is>
          <t>це кандидати для окремої стратегічної дискусії, а не для швидкого запуску.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2026-04-18T11:24:32Z</dcterms:created>
  <dcterms:modified xmlns:dcterms="http://purl.org/dc/terms/" xmlns:xsi="http://www.w3.org/2001/XMLSchema-instance" xsi:type="dcterms:W3CDTF">2026-04-19T13:35:54Z</dcterms:modified>
  <cp:revision>0</cp:revision>
</cp:coreProperties>
</file>